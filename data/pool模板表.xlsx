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Project\Excel_operation\data\"/>
    </mc:Choice>
  </mc:AlternateContent>
  <xr:revisionPtr revIDLastSave="0" documentId="13_ncr:1_{FF223B61-A054-43D0-AC3A-F5FE5DF340D4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A" sheetId="1" r:id="rId1"/>
    <sheet name="B" sheetId="2" r:id="rId2"/>
    <sheet name="C" sheetId="3" r:id="rId3"/>
    <sheet name="文库环化" sheetId="4" r:id="rId4"/>
    <sheet name="T7+制备" sheetId="5" r:id="rId5"/>
    <sheet name="B1-B3" sheetId="6" state="hidden" r:id="rId6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2" l="1"/>
  <c r="D37" i="4"/>
  <c r="F37" i="4"/>
  <c r="M37" i="4"/>
  <c r="G37" i="4"/>
  <c r="J37" i="4"/>
  <c r="D36" i="4"/>
  <c r="F36" i="4"/>
  <c r="M36" i="4"/>
  <c r="G36" i="4"/>
  <c r="J36" i="4"/>
  <c r="D35" i="4"/>
  <c r="F35" i="4"/>
  <c r="M35" i="4"/>
  <c r="G35" i="4"/>
  <c r="J35" i="4"/>
  <c r="D34" i="4"/>
  <c r="F34" i="4"/>
  <c r="M34" i="4"/>
  <c r="G34" i="4"/>
  <c r="J34" i="4"/>
  <c r="D33" i="4"/>
  <c r="F33" i="4"/>
  <c r="M33" i="4"/>
  <c r="G33" i="4"/>
  <c r="J33" i="4"/>
  <c r="D32" i="4"/>
  <c r="F32" i="4"/>
  <c r="M32" i="4"/>
  <c r="G32" i="4"/>
  <c r="J32" i="4"/>
  <c r="D31" i="4"/>
  <c r="F31" i="4"/>
  <c r="M31" i="4"/>
  <c r="G31" i="4"/>
  <c r="J31" i="4"/>
  <c r="D30" i="4"/>
  <c r="F30" i="4"/>
  <c r="M30" i="4"/>
  <c r="G30" i="4"/>
  <c r="J30" i="4"/>
  <c r="D29" i="4"/>
  <c r="F29" i="4"/>
  <c r="M29" i="4"/>
  <c r="G29" i="4"/>
  <c r="J29" i="4"/>
  <c r="D28" i="4"/>
  <c r="F28" i="4"/>
  <c r="M28" i="4"/>
  <c r="G28" i="4"/>
  <c r="J28" i="4"/>
  <c r="D27" i="4"/>
  <c r="F27" i="4"/>
  <c r="M27" i="4"/>
  <c r="G27" i="4"/>
  <c r="J27" i="4"/>
  <c r="D26" i="4"/>
  <c r="F26" i="4"/>
  <c r="M26" i="4"/>
  <c r="G26" i="4"/>
  <c r="J26" i="4"/>
  <c r="D25" i="4"/>
  <c r="F25" i="4"/>
  <c r="M25" i="4"/>
  <c r="G25" i="4"/>
  <c r="J25" i="4"/>
  <c r="D24" i="4"/>
  <c r="F24" i="4"/>
  <c r="M24" i="4"/>
  <c r="G24" i="4"/>
  <c r="J24" i="4"/>
  <c r="D23" i="4"/>
  <c r="F23" i="4"/>
  <c r="M23" i="4"/>
  <c r="G23" i="4"/>
  <c r="J23" i="4"/>
  <c r="D22" i="4"/>
  <c r="F22" i="4"/>
  <c r="M22" i="4"/>
  <c r="G22" i="4"/>
  <c r="J22" i="4"/>
  <c r="D21" i="4"/>
  <c r="F21" i="4"/>
  <c r="M21" i="4"/>
  <c r="G21" i="4"/>
  <c r="J21" i="4"/>
  <c r="D20" i="4"/>
  <c r="F20" i="4"/>
  <c r="M20" i="4"/>
  <c r="G20" i="4"/>
  <c r="J20" i="4"/>
  <c r="D19" i="4"/>
  <c r="F19" i="4"/>
  <c r="M19" i="4"/>
  <c r="G19" i="4"/>
  <c r="J19" i="4"/>
  <c r="D18" i="4"/>
  <c r="F18" i="4"/>
  <c r="M18" i="4"/>
  <c r="G18" i="4"/>
  <c r="J18" i="4"/>
  <c r="D17" i="4"/>
  <c r="F17" i="4"/>
  <c r="M17" i="4"/>
  <c r="G17" i="4"/>
  <c r="J17" i="4"/>
  <c r="D16" i="4"/>
  <c r="F16" i="4"/>
  <c r="M16" i="4"/>
  <c r="G16" i="4"/>
  <c r="J16" i="4"/>
  <c r="D15" i="4"/>
  <c r="F15" i="4"/>
  <c r="M15" i="4"/>
  <c r="G15" i="4"/>
  <c r="J15" i="4"/>
  <c r="D14" i="4"/>
  <c r="F14" i="4"/>
  <c r="M14" i="4"/>
  <c r="G14" i="4"/>
  <c r="J14" i="4"/>
  <c r="D13" i="4"/>
  <c r="F13" i="4"/>
  <c r="M13" i="4"/>
  <c r="G13" i="4"/>
  <c r="J13" i="4"/>
  <c r="D12" i="4"/>
  <c r="F12" i="4"/>
  <c r="M12" i="4"/>
  <c r="G12" i="4"/>
  <c r="J12" i="4"/>
  <c r="D11" i="4"/>
  <c r="F11" i="4"/>
  <c r="M11" i="4"/>
  <c r="G11" i="4"/>
  <c r="J11" i="4"/>
  <c r="D10" i="4"/>
  <c r="F10" i="4"/>
  <c r="M10" i="4"/>
  <c r="G10" i="4"/>
  <c r="J10" i="4"/>
  <c r="D9" i="4"/>
  <c r="F9" i="4"/>
  <c r="M9" i="4"/>
  <c r="G9" i="4"/>
  <c r="J9" i="4"/>
  <c r="D7" i="4"/>
  <c r="F7" i="4"/>
  <c r="M7" i="4"/>
  <c r="G7" i="4"/>
  <c r="J7" i="4"/>
  <c r="D6" i="4"/>
  <c r="F6" i="4"/>
  <c r="M6" i="4"/>
  <c r="G6" i="4"/>
  <c r="J6" i="4"/>
  <c r="D5" i="4"/>
  <c r="F5" i="4"/>
  <c r="M5" i="4"/>
  <c r="G5" i="4"/>
  <c r="J5" i="4"/>
  <c r="D4" i="4"/>
  <c r="F4" i="4"/>
  <c r="M4" i="4"/>
  <c r="G4" i="4"/>
  <c r="J4" i="4"/>
  <c r="D3" i="4"/>
  <c r="F3" i="4"/>
  <c r="M3" i="4"/>
  <c r="G3" i="4"/>
  <c r="J3" i="4"/>
  <c r="D2" i="4"/>
  <c r="F2" i="4"/>
  <c r="M2" i="4"/>
  <c r="G2" i="4"/>
  <c r="J2" i="4"/>
  <c r="M259" i="2"/>
  <c r="F256" i="2"/>
  <c r="F257" i="2"/>
  <c r="F258" i="2"/>
  <c r="F259" i="2"/>
  <c r="I259" i="2"/>
  <c r="D259" i="2"/>
  <c r="M255" i="2"/>
  <c r="F254" i="2"/>
  <c r="F255" i="2"/>
  <c r="I255" i="2"/>
  <c r="D255" i="2"/>
  <c r="M253" i="2"/>
  <c r="F252" i="2"/>
  <c r="F253" i="2"/>
  <c r="I253" i="2"/>
  <c r="D253" i="2"/>
  <c r="M251" i="2"/>
  <c r="F247" i="2"/>
  <c r="F248" i="2"/>
  <c r="F249" i="2"/>
  <c r="F250" i="2"/>
  <c r="F251" i="2"/>
  <c r="I251" i="2"/>
  <c r="D251" i="2"/>
  <c r="M246" i="2"/>
  <c r="F245" i="2"/>
  <c r="F246" i="2"/>
  <c r="I246" i="2"/>
  <c r="D246" i="2"/>
  <c r="M244" i="2"/>
  <c r="F239" i="2"/>
  <c r="F240" i="2"/>
  <c r="F241" i="2"/>
  <c r="F242" i="2"/>
  <c r="F243" i="2"/>
  <c r="F244" i="2"/>
  <c r="I244" i="2"/>
  <c r="D244" i="2"/>
  <c r="M238" i="2"/>
  <c r="F237" i="2"/>
  <c r="F238" i="2"/>
  <c r="I238" i="2"/>
  <c r="D238" i="2"/>
  <c r="M236" i="2"/>
  <c r="F235" i="2"/>
  <c r="F236" i="2"/>
  <c r="I236" i="2"/>
  <c r="D236" i="2"/>
  <c r="M234" i="2"/>
  <c r="F229" i="2"/>
  <c r="F230" i="2"/>
  <c r="F231" i="2"/>
  <c r="F232" i="2"/>
  <c r="F233" i="2"/>
  <c r="F234" i="2"/>
  <c r="I234" i="2"/>
  <c r="D234" i="2"/>
  <c r="M228" i="2"/>
  <c r="F226" i="2"/>
  <c r="F227" i="2"/>
  <c r="F228" i="2"/>
  <c r="I228" i="2"/>
  <c r="D228" i="2"/>
  <c r="M225" i="2"/>
  <c r="F221" i="2"/>
  <c r="F222" i="2"/>
  <c r="F223" i="2"/>
  <c r="F224" i="2"/>
  <c r="F225" i="2"/>
  <c r="I225" i="2"/>
  <c r="D225" i="2"/>
  <c r="M220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I220" i="2"/>
  <c r="D220" i="2"/>
  <c r="M185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I185" i="2"/>
  <c r="D185" i="2"/>
  <c r="M82" i="2"/>
  <c r="F78" i="2"/>
  <c r="F79" i="2"/>
  <c r="F80" i="2"/>
  <c r="F81" i="2"/>
  <c r="F82" i="2"/>
  <c r="I82" i="2"/>
  <c r="D82" i="2"/>
  <c r="M77" i="2"/>
  <c r="F72" i="2"/>
  <c r="F73" i="2"/>
  <c r="F74" i="2"/>
  <c r="F75" i="2"/>
  <c r="F76" i="2"/>
  <c r="F77" i="2"/>
  <c r="I77" i="2"/>
  <c r="D77" i="2"/>
  <c r="M71" i="2"/>
  <c r="F69" i="2"/>
  <c r="F70" i="2"/>
  <c r="F71" i="2"/>
  <c r="I71" i="2"/>
  <c r="D71" i="2"/>
  <c r="M68" i="2"/>
  <c r="F65" i="2"/>
  <c r="F66" i="2"/>
  <c r="F67" i="2"/>
  <c r="F68" i="2"/>
  <c r="I68" i="2"/>
  <c r="D68" i="2"/>
  <c r="M64" i="2"/>
  <c r="F63" i="2"/>
  <c r="F64" i="2"/>
  <c r="I64" i="2"/>
  <c r="D64" i="2"/>
  <c r="M62" i="2"/>
  <c r="F58" i="2"/>
  <c r="F59" i="2"/>
  <c r="F60" i="2"/>
  <c r="F61" i="2"/>
  <c r="F62" i="2"/>
  <c r="I62" i="2"/>
  <c r="D62" i="2"/>
  <c r="M57" i="2"/>
  <c r="F56" i="2"/>
  <c r="F57" i="2"/>
  <c r="I57" i="2"/>
  <c r="D57" i="2"/>
  <c r="M55" i="2"/>
  <c r="F45" i="2"/>
  <c r="F46" i="2"/>
  <c r="F47" i="2"/>
  <c r="F48" i="2"/>
  <c r="F49" i="2"/>
  <c r="F50" i="2"/>
  <c r="F51" i="2"/>
  <c r="F52" i="2"/>
  <c r="F53" i="2"/>
  <c r="F54" i="2"/>
  <c r="F55" i="2"/>
  <c r="I55" i="2"/>
  <c r="D55" i="2"/>
  <c r="M44" i="2"/>
  <c r="F35" i="2"/>
  <c r="F36" i="2"/>
  <c r="F37" i="2"/>
  <c r="F38" i="2"/>
  <c r="F39" i="2"/>
  <c r="F40" i="2"/>
  <c r="F41" i="2"/>
  <c r="F42" i="2"/>
  <c r="F43" i="2"/>
  <c r="F44" i="2"/>
  <c r="I44" i="2"/>
  <c r="D44" i="2"/>
  <c r="M34" i="2"/>
  <c r="F33" i="2"/>
  <c r="F34" i="2"/>
  <c r="I34" i="2"/>
  <c r="D34" i="2"/>
  <c r="M32" i="2"/>
  <c r="F31" i="2"/>
  <c r="F32" i="2"/>
  <c r="I32" i="2"/>
  <c r="D32" i="2"/>
  <c r="M30" i="2"/>
  <c r="F22" i="2"/>
  <c r="F23" i="2"/>
  <c r="F24" i="2"/>
  <c r="F25" i="2"/>
  <c r="F26" i="2"/>
  <c r="F27" i="2"/>
  <c r="F28" i="2"/>
  <c r="F29" i="2"/>
  <c r="F30" i="2"/>
  <c r="I30" i="2"/>
  <c r="D30" i="2"/>
  <c r="M21" i="2"/>
  <c r="F16" i="2"/>
  <c r="F17" i="2"/>
  <c r="F18" i="2"/>
  <c r="F19" i="2"/>
  <c r="F20" i="2"/>
  <c r="F21" i="2"/>
  <c r="I21" i="2"/>
  <c r="D21" i="2"/>
  <c r="M15" i="2"/>
  <c r="F8" i="2"/>
  <c r="F9" i="2"/>
  <c r="F10" i="2"/>
  <c r="F11" i="2"/>
  <c r="F12" i="2"/>
  <c r="F13" i="2"/>
  <c r="F14" i="2"/>
  <c r="F15" i="2"/>
  <c r="I15" i="2"/>
  <c r="D15" i="2"/>
  <c r="M7" i="2"/>
  <c r="F6" i="2"/>
  <c r="F7" i="2"/>
  <c r="I7" i="2"/>
  <c r="D7" i="2"/>
  <c r="M5" i="2"/>
  <c r="F2" i="2"/>
  <c r="F3" i="2"/>
  <c r="F4" i="2"/>
  <c r="F5" i="2"/>
  <c r="I5" i="2"/>
  <c r="M14" i="1"/>
  <c r="F12" i="1"/>
  <c r="F13" i="1"/>
  <c r="F14" i="1"/>
  <c r="I14" i="1"/>
  <c r="D14" i="1"/>
  <c r="M11" i="1"/>
  <c r="F10" i="1"/>
  <c r="F11" i="1"/>
  <c r="I11" i="1"/>
  <c r="D11" i="1"/>
  <c r="M9" i="1"/>
  <c r="F8" i="1"/>
  <c r="F9" i="1"/>
  <c r="I9" i="1"/>
  <c r="D9" i="1"/>
  <c r="M7" i="1"/>
  <c r="F6" i="1"/>
  <c r="F7" i="1"/>
  <c r="I7" i="1"/>
  <c r="D7" i="1"/>
  <c r="M5" i="1"/>
  <c r="F4" i="1"/>
  <c r="F5" i="1"/>
  <c r="I5" i="1"/>
  <c r="D5" i="1"/>
  <c r="M3" i="1"/>
  <c r="F2" i="1"/>
  <c r="F3" i="1"/>
  <c r="I3" i="1"/>
  <c r="D3" i="1"/>
  <c r="H38" i="5"/>
  <c r="I9" i="5"/>
  <c r="K9" i="5"/>
  <c r="I10" i="5"/>
  <c r="K10" i="5"/>
  <c r="I11" i="5"/>
  <c r="K11" i="5"/>
  <c r="I12" i="5"/>
  <c r="K12" i="5"/>
  <c r="I13" i="5"/>
  <c r="K13" i="5"/>
  <c r="I14" i="5"/>
  <c r="K14" i="5"/>
  <c r="I15" i="5"/>
  <c r="K15" i="5"/>
  <c r="I16" i="5"/>
  <c r="K16" i="5"/>
  <c r="I17" i="5"/>
  <c r="K17" i="5"/>
  <c r="I18" i="5"/>
  <c r="K18" i="5"/>
  <c r="I19" i="5"/>
  <c r="K19" i="5"/>
  <c r="I20" i="5"/>
  <c r="K20" i="5"/>
  <c r="I21" i="5"/>
  <c r="K21" i="5"/>
  <c r="I22" i="5"/>
  <c r="K22" i="5"/>
  <c r="I23" i="5"/>
  <c r="K23" i="5"/>
  <c r="I24" i="5"/>
  <c r="K24" i="5"/>
  <c r="I25" i="5"/>
  <c r="K25" i="5"/>
  <c r="I26" i="5"/>
  <c r="K26" i="5"/>
  <c r="I27" i="5"/>
  <c r="K27" i="5"/>
  <c r="I28" i="5"/>
  <c r="K28" i="5"/>
  <c r="I29" i="5"/>
  <c r="K29" i="5"/>
  <c r="I30" i="5"/>
  <c r="K30" i="5"/>
  <c r="I31" i="5"/>
  <c r="K31" i="5"/>
  <c r="I32" i="5"/>
  <c r="K32" i="5"/>
  <c r="I33" i="5"/>
  <c r="K33" i="5"/>
  <c r="I34" i="5"/>
  <c r="K34" i="5"/>
  <c r="I35" i="5"/>
  <c r="K35" i="5"/>
  <c r="I36" i="5"/>
  <c r="K36" i="5"/>
  <c r="I37" i="5"/>
  <c r="K37" i="5"/>
  <c r="K38" i="5"/>
  <c r="L9" i="5"/>
  <c r="G9" i="5"/>
  <c r="F9" i="5"/>
  <c r="M9" i="5"/>
  <c r="M38" i="5"/>
  <c r="P38" i="5"/>
  <c r="D38" i="5"/>
  <c r="Q37" i="5"/>
  <c r="L37" i="5"/>
  <c r="G37" i="5"/>
  <c r="F37" i="5"/>
  <c r="M37" i="5"/>
  <c r="E37" i="5"/>
  <c r="Q36" i="5"/>
  <c r="L36" i="5"/>
  <c r="G36" i="5"/>
  <c r="F36" i="5"/>
  <c r="M36" i="5"/>
  <c r="E36" i="5"/>
  <c r="Q35" i="5"/>
  <c r="L35" i="5"/>
  <c r="G35" i="5"/>
  <c r="F35" i="5"/>
  <c r="M35" i="5"/>
  <c r="E35" i="5"/>
  <c r="Q34" i="5"/>
  <c r="L34" i="5"/>
  <c r="G34" i="5"/>
  <c r="F34" i="5"/>
  <c r="M34" i="5"/>
  <c r="E34" i="5"/>
  <c r="Q33" i="5"/>
  <c r="L33" i="5"/>
  <c r="G33" i="5"/>
  <c r="F33" i="5"/>
  <c r="M33" i="5"/>
  <c r="E33" i="5"/>
  <c r="Q32" i="5"/>
  <c r="L32" i="5"/>
  <c r="G32" i="5"/>
  <c r="F32" i="5"/>
  <c r="M32" i="5"/>
  <c r="E32" i="5"/>
  <c r="Q31" i="5"/>
  <c r="L31" i="5"/>
  <c r="G31" i="5"/>
  <c r="F31" i="5"/>
  <c r="M31" i="5"/>
  <c r="E31" i="5"/>
  <c r="Q30" i="5"/>
  <c r="L30" i="5"/>
  <c r="G30" i="5"/>
  <c r="F30" i="5"/>
  <c r="M30" i="5"/>
  <c r="E30" i="5"/>
  <c r="Q29" i="5"/>
  <c r="L29" i="5"/>
  <c r="G29" i="5"/>
  <c r="F29" i="5"/>
  <c r="M29" i="5"/>
  <c r="E29" i="5"/>
  <c r="Q28" i="5"/>
  <c r="L28" i="5"/>
  <c r="G28" i="5"/>
  <c r="F28" i="5"/>
  <c r="M28" i="5"/>
  <c r="E28" i="5"/>
  <c r="Q27" i="5"/>
  <c r="L27" i="5"/>
  <c r="G27" i="5"/>
  <c r="F27" i="5"/>
  <c r="M27" i="5"/>
  <c r="E27" i="5"/>
  <c r="Q26" i="5"/>
  <c r="L26" i="5"/>
  <c r="G26" i="5"/>
  <c r="F26" i="5"/>
  <c r="M26" i="5"/>
  <c r="E26" i="5"/>
  <c r="Q25" i="5"/>
  <c r="L25" i="5"/>
  <c r="G25" i="5"/>
  <c r="F25" i="5"/>
  <c r="M25" i="5"/>
  <c r="E25" i="5"/>
  <c r="Q24" i="5"/>
  <c r="L24" i="5"/>
  <c r="G24" i="5"/>
  <c r="F24" i="5"/>
  <c r="M24" i="5"/>
  <c r="E24" i="5"/>
  <c r="Q23" i="5"/>
  <c r="L23" i="5"/>
  <c r="G23" i="5"/>
  <c r="F23" i="5"/>
  <c r="M23" i="5"/>
  <c r="E23" i="5"/>
  <c r="Q22" i="5"/>
  <c r="L22" i="5"/>
  <c r="G22" i="5"/>
  <c r="F22" i="5"/>
  <c r="M22" i="5"/>
  <c r="E22" i="5"/>
  <c r="Q21" i="5"/>
  <c r="L21" i="5"/>
  <c r="G21" i="5"/>
  <c r="F21" i="5"/>
  <c r="M21" i="5"/>
  <c r="E21" i="5"/>
  <c r="Q20" i="5"/>
  <c r="L20" i="5"/>
  <c r="G20" i="5"/>
  <c r="F20" i="5"/>
  <c r="M20" i="5"/>
  <c r="E20" i="5"/>
  <c r="Q19" i="5"/>
  <c r="L19" i="5"/>
  <c r="G19" i="5"/>
  <c r="F19" i="5"/>
  <c r="M19" i="5"/>
  <c r="E19" i="5"/>
  <c r="Q18" i="5"/>
  <c r="L18" i="5"/>
  <c r="G18" i="5"/>
  <c r="F18" i="5"/>
  <c r="M18" i="5"/>
  <c r="E18" i="5"/>
  <c r="Q17" i="5"/>
  <c r="L17" i="5"/>
  <c r="G17" i="5"/>
  <c r="F17" i="5"/>
  <c r="M17" i="5"/>
  <c r="E17" i="5"/>
  <c r="Q16" i="5"/>
  <c r="L16" i="5"/>
  <c r="G16" i="5"/>
  <c r="F16" i="5"/>
  <c r="M16" i="5"/>
  <c r="E16" i="5"/>
  <c r="Q15" i="5"/>
  <c r="L15" i="5"/>
  <c r="G15" i="5"/>
  <c r="F15" i="5"/>
  <c r="M15" i="5"/>
  <c r="E15" i="5"/>
  <c r="Q14" i="5"/>
  <c r="L14" i="5"/>
  <c r="G14" i="5"/>
  <c r="F14" i="5"/>
  <c r="M14" i="5"/>
  <c r="E14" i="5"/>
  <c r="Q13" i="5"/>
  <c r="L13" i="5"/>
  <c r="G13" i="5"/>
  <c r="F13" i="5"/>
  <c r="M13" i="5"/>
  <c r="E13" i="5"/>
  <c r="Q12" i="5"/>
  <c r="L12" i="5"/>
  <c r="G12" i="5"/>
  <c r="F12" i="5"/>
  <c r="M12" i="5"/>
  <c r="E12" i="5"/>
  <c r="Q11" i="5"/>
  <c r="L11" i="5"/>
  <c r="G11" i="5"/>
  <c r="F11" i="5"/>
  <c r="M11" i="5"/>
  <c r="E11" i="5"/>
  <c r="Q10" i="5"/>
  <c r="L10" i="5"/>
  <c r="G10" i="5"/>
  <c r="F10" i="5"/>
  <c r="M10" i="5"/>
  <c r="E10" i="5"/>
  <c r="Q9" i="5"/>
  <c r="E9" i="5"/>
  <c r="H8" i="5"/>
  <c r="I2" i="5"/>
  <c r="K2" i="5"/>
  <c r="I3" i="5"/>
  <c r="K3" i="5"/>
  <c r="I4" i="5"/>
  <c r="K4" i="5"/>
  <c r="I5" i="5"/>
  <c r="K5" i="5"/>
  <c r="I6" i="5"/>
  <c r="K6" i="5"/>
  <c r="I7" i="5"/>
  <c r="K7" i="5"/>
  <c r="K8" i="5"/>
  <c r="L2" i="5"/>
  <c r="G2" i="5"/>
  <c r="F2" i="5"/>
  <c r="M2" i="5"/>
  <c r="M8" i="5"/>
  <c r="P8" i="5"/>
  <c r="D8" i="5"/>
  <c r="Q7" i="5"/>
  <c r="L7" i="5"/>
  <c r="G7" i="5"/>
  <c r="F7" i="5"/>
  <c r="M7" i="5"/>
  <c r="E7" i="5"/>
  <c r="Q6" i="5"/>
  <c r="L6" i="5"/>
  <c r="G6" i="5"/>
  <c r="F6" i="5"/>
  <c r="M6" i="5"/>
  <c r="E6" i="5"/>
  <c r="Q5" i="5"/>
  <c r="L5" i="5"/>
  <c r="G5" i="5"/>
  <c r="F5" i="5"/>
  <c r="M5" i="5"/>
  <c r="E5" i="5"/>
  <c r="Q4" i="5"/>
  <c r="L4" i="5"/>
  <c r="G4" i="5"/>
  <c r="F4" i="5"/>
  <c r="M4" i="5"/>
  <c r="E4" i="5"/>
  <c r="Q3" i="5"/>
  <c r="L3" i="5"/>
  <c r="G3" i="5"/>
  <c r="F3" i="5"/>
  <c r="M3" i="5"/>
  <c r="E3" i="5"/>
  <c r="Q2" i="5"/>
  <c r="E2" i="5"/>
</calcChain>
</file>

<file path=xl/sharedStrings.xml><?xml version="1.0" encoding="utf-8"?>
<sst xmlns="http://schemas.openxmlformats.org/spreadsheetml/2006/main" count="1774" uniqueCount="392">
  <si>
    <t>laneID</t>
  </si>
  <si>
    <t>文库ssDNA编号</t>
  </si>
  <si>
    <t>SSDNA浓度</t>
  </si>
  <si>
    <t>平均片段</t>
  </si>
  <si>
    <t>150fmol对应质量（ng）</t>
  </si>
  <si>
    <t>投入摩尔数</t>
  </si>
  <si>
    <t>数据量（G)</t>
  </si>
  <si>
    <t>理论数据量占比</t>
  </si>
  <si>
    <t>调整比例</t>
  </si>
  <si>
    <t>实际投入占比</t>
  </si>
  <si>
    <t>ssDNA取样体积</t>
  </si>
  <si>
    <t>文库类型</t>
  </si>
  <si>
    <t>客户单位</t>
  </si>
  <si>
    <t>TE补充体积</t>
  </si>
  <si>
    <t>实际调整比例</t>
  </si>
  <si>
    <t>0720A</t>
  </si>
  <si>
    <t>A1</t>
  </si>
  <si>
    <t>宏基因组文库</t>
  </si>
  <si>
    <t>广东美格基因科技有限公司</t>
  </si>
  <si>
    <t>A2</t>
  </si>
  <si>
    <t>A3</t>
  </si>
  <si>
    <t>A4</t>
  </si>
  <si>
    <t>A5</t>
  </si>
  <si>
    <t>A6</t>
  </si>
  <si>
    <t>0720B</t>
  </si>
  <si>
    <t>B1</t>
  </si>
  <si>
    <t>10X-3-转录组</t>
  </si>
  <si>
    <t>广州奥智生物科技有限公司</t>
  </si>
  <si>
    <t>B2</t>
  </si>
  <si>
    <t>无参转录组（RNA-seq）</t>
  </si>
  <si>
    <t>B3</t>
  </si>
  <si>
    <t>有参转录组（RNA-seq）</t>
  </si>
  <si>
    <t>B4</t>
  </si>
  <si>
    <t>B5</t>
  </si>
  <si>
    <t>singleron-3'转录组文库</t>
  </si>
  <si>
    <t>南京通元医学检验实验室有限公司</t>
  </si>
  <si>
    <t>B6</t>
  </si>
  <si>
    <t>singleron-单细胞BCR文库</t>
  </si>
  <si>
    <t>B7</t>
  </si>
  <si>
    <t>singleron-单细胞TCR文库</t>
  </si>
  <si>
    <t>B8</t>
  </si>
  <si>
    <t>B9</t>
  </si>
  <si>
    <t>B10</t>
  </si>
  <si>
    <t>B11</t>
  </si>
  <si>
    <t>真核转录组文库</t>
  </si>
  <si>
    <t>B12</t>
  </si>
  <si>
    <t>mRNA-T7</t>
  </si>
  <si>
    <t>武汉格信生物科技有限公司</t>
  </si>
  <si>
    <t>B13</t>
  </si>
  <si>
    <t>BCR文库</t>
  </si>
  <si>
    <t>江西烈冰生物科技有限公司</t>
  </si>
  <si>
    <t>B14</t>
  </si>
  <si>
    <t>BD-单细胞</t>
  </si>
  <si>
    <t>B15</t>
  </si>
  <si>
    <t>B16</t>
  </si>
  <si>
    <t>TCR文库</t>
  </si>
  <si>
    <t>B17</t>
  </si>
  <si>
    <t>mRNA</t>
  </si>
  <si>
    <t>B18</t>
  </si>
  <si>
    <t>B19</t>
  </si>
  <si>
    <t>新格元3端单细胞转录组</t>
  </si>
  <si>
    <t>深圳达普生物科技有限公司</t>
  </si>
  <si>
    <t>B20</t>
  </si>
  <si>
    <t>B21</t>
  </si>
  <si>
    <t>B22</t>
  </si>
  <si>
    <t>B23</t>
  </si>
  <si>
    <t>华大-C4-oligo</t>
  </si>
  <si>
    <t>B24</t>
  </si>
  <si>
    <t>B25</t>
  </si>
  <si>
    <t>华大-C4-转录组</t>
  </si>
  <si>
    <t>广州基迪奥科技服务有限公司</t>
  </si>
  <si>
    <t>B26</t>
  </si>
  <si>
    <t>基因组文库</t>
  </si>
  <si>
    <t>武汉百易汇能生物科技有限公司</t>
  </si>
  <si>
    <t>B27</t>
  </si>
  <si>
    <t>B28</t>
  </si>
  <si>
    <t>转录组文库</t>
  </si>
  <si>
    <t>B29</t>
  </si>
  <si>
    <t>链特异性文库</t>
  </si>
  <si>
    <t>Lane编号</t>
  </si>
  <si>
    <t>文库编号</t>
  </si>
  <si>
    <t>Qubit浓度（ng/ul）</t>
  </si>
  <si>
    <t>文库摩尔质量（nM）</t>
  </si>
  <si>
    <t>最终取样体积（ul）</t>
  </si>
  <si>
    <t>TE Buffer补充体积（uL）</t>
  </si>
  <si>
    <t>孔号</t>
  </si>
  <si>
    <t>板号</t>
  </si>
  <si>
    <t>备注</t>
  </si>
  <si>
    <t>片段</t>
  </si>
  <si>
    <t>文库结构</t>
  </si>
  <si>
    <t>磷酸化*</t>
  </si>
  <si>
    <t>环化*</t>
  </si>
  <si>
    <t>LN7-260717-P1-1</t>
  </si>
  <si>
    <t>Illumina Truseq文库</t>
  </si>
  <si>
    <t>未磷酸化</t>
  </si>
  <si>
    <t>未环化</t>
  </si>
  <si>
    <t>LN7-260717-P1-2</t>
  </si>
  <si>
    <t>LN7-260717-P1-3</t>
  </si>
  <si>
    <t>LN7-260717-P1-4</t>
  </si>
  <si>
    <t>LN7-260717-P1-5</t>
  </si>
  <si>
    <t>LN7-260717-P1-6</t>
  </si>
  <si>
    <t>LN7-260717-P1-7</t>
  </si>
  <si>
    <t>HGC-Lib-26083231</t>
  </si>
  <si>
    <t>补测_260718_R21016100250033_ML150022343</t>
  </si>
  <si>
    <t>HGC-Lib-26083199</t>
  </si>
  <si>
    <t>HGC-Lib-26083195</t>
  </si>
  <si>
    <t>HGC-Lib-26084780</t>
  </si>
  <si>
    <t>26.7.8-5-BGI_A11</t>
  </si>
  <si>
    <t>HGC-Lib-26084804</t>
  </si>
  <si>
    <t>26.7.7-ZM_A2</t>
  </si>
  <si>
    <t>HGC-Lib-26084816</t>
  </si>
  <si>
    <t>26.7.7-ZM_B2</t>
  </si>
  <si>
    <t>HGC-Lib-26084821</t>
  </si>
  <si>
    <t>26.7.7-ZM_B7</t>
  </si>
  <si>
    <t>HGC-Lib-26084850</t>
  </si>
  <si>
    <t>26.7.7-ZM_D12</t>
  </si>
  <si>
    <t>HGC-Lib-26084842</t>
  </si>
  <si>
    <t>26.7.7-ZM_D4</t>
  </si>
  <si>
    <t>HGC-Lib-26084860</t>
  </si>
  <si>
    <t>26.7.7-ZM_E10</t>
  </si>
  <si>
    <t>HGC-Lib-26084800</t>
  </si>
  <si>
    <t>26.7.8-5-BGI_C7</t>
  </si>
  <si>
    <t>HGC-Lib-26084824</t>
  </si>
  <si>
    <t>26.7.7-ZM_B10</t>
  </si>
  <si>
    <t>HGC-Lib-26084817</t>
  </si>
  <si>
    <t>26.7.7-ZM_B3</t>
  </si>
  <si>
    <t>HGC-Lib-26084827</t>
  </si>
  <si>
    <t>26.7.7-ZM_C1</t>
  </si>
  <si>
    <t>HGC-Lib-26084836</t>
  </si>
  <si>
    <t>26.7.7-ZM_C10</t>
  </si>
  <si>
    <t>HGC-Lib-26084789</t>
  </si>
  <si>
    <t>26.7.8-5-BGI_B8</t>
  </si>
  <si>
    <t>HGC-Lib-26090705</t>
  </si>
  <si>
    <t>加急</t>
  </si>
  <si>
    <t>HGC-Lib-26090706</t>
  </si>
  <si>
    <t>HGC-Lib-26090707</t>
  </si>
  <si>
    <t>HGC-Lib-26090708</t>
  </si>
  <si>
    <t>HGC-Lib-26086622</t>
  </si>
  <si>
    <t>加测_260715_R21016100250033_ML150026503</t>
  </si>
  <si>
    <t>HGC-Lib-26086624</t>
  </si>
  <si>
    <t>HGC-Lib-26086625</t>
  </si>
  <si>
    <t>HGC-Lib-26086598</t>
  </si>
  <si>
    <t>HGC-Lib-26090710</t>
  </si>
  <si>
    <t>HGC-Lib-26090709</t>
  </si>
  <si>
    <t>HGC-Lib-26085870</t>
  </si>
  <si>
    <t>LN7-260711-P1-板1-C9</t>
  </si>
  <si>
    <t>补测_260717_R21016100250033_ML150022328</t>
  </si>
  <si>
    <t>HGC-Lib-26085908</t>
  </si>
  <si>
    <t>LN7-260711-P1-板1-F11</t>
  </si>
  <si>
    <t>HGC-Lib-26085913</t>
  </si>
  <si>
    <t>LN7-260711-P1-板1-G4</t>
  </si>
  <si>
    <t>HGC-Lib-26085918</t>
  </si>
  <si>
    <t>LN7-260711-P1-板1-G9</t>
  </si>
  <si>
    <t>HGC-Lib-26085931</t>
  </si>
  <si>
    <t>LN7-260711-P1-板1-H10</t>
  </si>
  <si>
    <t>HGC-Lib-26085930</t>
  </si>
  <si>
    <t>LN7-260711-P1-板1-H9</t>
  </si>
  <si>
    <t>HGC-Lib-26085965</t>
  </si>
  <si>
    <t>LN7-260711-P1-板2-C8</t>
  </si>
  <si>
    <t>HGC-Lib-26085997</t>
  </si>
  <si>
    <t>LN7-260711-P1-板2-F4</t>
  </si>
  <si>
    <t>HGC-Lib-26086120</t>
  </si>
  <si>
    <t>LN7-260711-P1-板3-H7</t>
  </si>
  <si>
    <t>HGC-Lib-26085897</t>
  </si>
  <si>
    <t>LN7-260711-P1-板1-E12</t>
  </si>
  <si>
    <t>HGC-Lib-26085909</t>
  </si>
  <si>
    <t>LN7-260711-P1-板1-F12</t>
  </si>
  <si>
    <t>HGC-Lib-26085906</t>
  </si>
  <si>
    <t>LN7-260711-P1-板1-F9</t>
  </si>
  <si>
    <t>HGC-Lib-26085911</t>
  </si>
  <si>
    <t>LN7-260711-P1-板1-G2</t>
  </si>
  <si>
    <t>HGC-Lib-26085912</t>
  </si>
  <si>
    <t>LN7-260711-P1-板1-G3</t>
  </si>
  <si>
    <t>HGC-Lib-26085922</t>
  </si>
  <si>
    <t>LN7-260711-P1-板1-H1</t>
  </si>
  <si>
    <t>HGC-Lib-26085932</t>
  </si>
  <si>
    <t>LN7-260711-P1-板1-H11</t>
  </si>
  <si>
    <t>HGC-Lib-26085926</t>
  </si>
  <si>
    <t>LN7-260711-P1-板1-H5</t>
  </si>
  <si>
    <t>HGC-Lib-26085949</t>
  </si>
  <si>
    <t>LN7-260711-P1-板2-B4</t>
  </si>
  <si>
    <t>HGC-Lib-26085966</t>
  </si>
  <si>
    <t>LN7-260711-P1-板2-C9</t>
  </si>
  <si>
    <t>HGC-Lib-26085910</t>
  </si>
  <si>
    <t>LN7-260711-P1-板1-G1</t>
  </si>
  <si>
    <t>HGC-Lib-26086170</t>
  </si>
  <si>
    <t>单管</t>
  </si>
  <si>
    <t>HGC-Lib-26086171</t>
  </si>
  <si>
    <t>HGC-Lib-26086173</t>
  </si>
  <si>
    <t>HGC-Lib-26086174</t>
  </si>
  <si>
    <t>20260718R-P3-108</t>
  </si>
  <si>
    <t>合格</t>
  </si>
  <si>
    <t>HGC-Lib-26088861</t>
  </si>
  <si>
    <t>HGC-Lib-26088860</t>
  </si>
  <si>
    <t>HGC-Lib-26088835</t>
  </si>
  <si>
    <t>HGC-Lib-26088703</t>
  </si>
  <si>
    <t>补测_260717_R21016100250033_ML150022394</t>
  </si>
  <si>
    <t>HGC-Lib-26088704</t>
  </si>
  <si>
    <t>HGC-Lib-26089821</t>
  </si>
  <si>
    <t>HGC-Lib-26089822</t>
  </si>
  <si>
    <t>HGC-Lib-26089823</t>
  </si>
  <si>
    <t>HGC-Lib-26089829</t>
  </si>
  <si>
    <t>HGC-Lib-26089830</t>
  </si>
  <si>
    <t>HGC-Lib-26088824</t>
  </si>
  <si>
    <t>HGC-Lib-26088830</t>
  </si>
  <si>
    <t>HGC-Lib-26088828</t>
  </si>
  <si>
    <t>HGC-Lib-26088827</t>
  </si>
  <si>
    <t>HGC-Lib-26088350</t>
  </si>
  <si>
    <t>HGC-Lib-26088363</t>
  </si>
  <si>
    <t>HGC-Lib-26088367</t>
  </si>
  <si>
    <t>HGC-Lib-26088369</t>
  </si>
  <si>
    <t>HGC-Lib-26088370</t>
  </si>
  <si>
    <t>HGC-Lib-26088371</t>
  </si>
  <si>
    <t>HGC-Lib-26088373</t>
  </si>
  <si>
    <t>HGC-Lib-26088374</t>
  </si>
  <si>
    <t>HGC-Lib-26088376</t>
  </si>
  <si>
    <t>HGC-Lib-26088378</t>
  </si>
  <si>
    <t>HGC-Lib-26088379</t>
  </si>
  <si>
    <t>HGC-Lib-26088380</t>
  </si>
  <si>
    <t>HGC-Lib-26088382</t>
  </si>
  <si>
    <t>HGC-Lib-26088385</t>
  </si>
  <si>
    <t>HGC-Lib-26088387</t>
  </si>
  <si>
    <t>HGC-Lib-26088388</t>
  </si>
  <si>
    <t>HGC-Lib-26088389</t>
  </si>
  <si>
    <t>HGC-Lib-26088390</t>
  </si>
  <si>
    <t>HGC-Lib-26088392</t>
  </si>
  <si>
    <t>HGC-Lib-26088394</t>
  </si>
  <si>
    <t>HGC-Lib-26088395</t>
  </si>
  <si>
    <t>HGC-Lib-26088396</t>
  </si>
  <si>
    <t>HGC-Lib-26088399</t>
  </si>
  <si>
    <t>HGC-Lib-26088401</t>
  </si>
  <si>
    <t>HGC-Lib-26088402</t>
  </si>
  <si>
    <t>HGC-Lib-26088404</t>
  </si>
  <si>
    <t>HGC-Lib-26088406</t>
  </si>
  <si>
    <t>HGC-Lib-26088408</t>
  </si>
  <si>
    <t>HGC-Lib-26088410</t>
  </si>
  <si>
    <t>HGC-Lib-26088412</t>
  </si>
  <si>
    <t>HGC-Lib-26088414</t>
  </si>
  <si>
    <t>HGC-Lib-26088416</t>
  </si>
  <si>
    <t>HGC-Lib-26088422</t>
  </si>
  <si>
    <t>HGC-Lib-26088426</t>
  </si>
  <si>
    <t>HGC-Lib-26088427</t>
  </si>
  <si>
    <t>HGC-Lib-26088428</t>
  </si>
  <si>
    <t>HGC-Lib-26088429</t>
  </si>
  <si>
    <t>HGC-Lib-26088430</t>
  </si>
  <si>
    <t>HGC-Lib-26088431</t>
  </si>
  <si>
    <t>HGC-Lib-26088433</t>
  </si>
  <si>
    <t>HGC-Lib-26088438</t>
  </si>
  <si>
    <t>HGC-Lib-26088440</t>
  </si>
  <si>
    <t>HGC-Lib-26088441</t>
  </si>
  <si>
    <t>HGC-Lib-26088442</t>
  </si>
  <si>
    <t>HGC-Lib-26088443</t>
  </si>
  <si>
    <t>HGC-Lib-26088445</t>
  </si>
  <si>
    <t>HGC-Lib-26088447</t>
  </si>
  <si>
    <t>HGC-Lib-26088451</t>
  </si>
  <si>
    <t>HGC-Lib-26088454</t>
  </si>
  <si>
    <t>HGC-Lib-26088455</t>
  </si>
  <si>
    <t>HGC-Lib-26088457</t>
  </si>
  <si>
    <t>HGC-Lib-26088459</t>
  </si>
  <si>
    <t>HGC-Lib-26088462</t>
  </si>
  <si>
    <t>HGC-Lib-26088464</t>
  </si>
  <si>
    <t>HGC-Lib-26088466</t>
  </si>
  <si>
    <t>HGC-Lib-26088469</t>
  </si>
  <si>
    <t>HGC-Lib-26088471</t>
  </si>
  <si>
    <t>HGC-Lib-26088490</t>
  </si>
  <si>
    <t>HGC-Lib-26088494</t>
  </si>
  <si>
    <t>HGC-Lib-26088497</t>
  </si>
  <si>
    <t>HGC-Lib-26088519</t>
  </si>
  <si>
    <t>HGC-Lib-26088535</t>
  </si>
  <si>
    <t>HGC-Lib-26088537</t>
  </si>
  <si>
    <t>HGC-Lib-26088541</t>
  </si>
  <si>
    <t>HGC-Lib-26088542</t>
  </si>
  <si>
    <t>HGC-Lib-26088550</t>
  </si>
  <si>
    <t>HGC-Lib-26088553</t>
  </si>
  <si>
    <t>HGC-Lib-26088561</t>
  </si>
  <si>
    <t>HGC-Lib-26088567</t>
  </si>
  <si>
    <t>HGC-Lib-26088569</t>
  </si>
  <si>
    <t>HGC-Lib-26088575</t>
  </si>
  <si>
    <t>HGC-Lib-26088576</t>
  </si>
  <si>
    <t>HGC-Lib-26088578</t>
  </si>
  <si>
    <t>HGC-Lib-26088582</t>
  </si>
  <si>
    <t>HGC-Lib-26088585</t>
  </si>
  <si>
    <t>HGC-Lib-26088595</t>
  </si>
  <si>
    <t>HGC-Lib-26088596</t>
  </si>
  <si>
    <t>HGC-Lib-26088598</t>
  </si>
  <si>
    <t>HGC-Lib-26088599</t>
  </si>
  <si>
    <t>HGC-Lib-26088600</t>
  </si>
  <si>
    <t>HGC-Lib-26088602</t>
  </si>
  <si>
    <t>HGC-Lib-26088604</t>
  </si>
  <si>
    <t>HGC-Lib-26088932</t>
  </si>
  <si>
    <t>HGC-Lib-26088933</t>
  </si>
  <si>
    <t>HGC-Lib-26088935</t>
  </si>
  <si>
    <t>HGC-Lib-26088937</t>
  </si>
  <si>
    <t>HGC-Lib-26088940</t>
  </si>
  <si>
    <t>HGC-Lib-26088942</t>
  </si>
  <si>
    <t>HGC-Lib-26088944</t>
  </si>
  <si>
    <t>HGC-Lib-26088946</t>
  </si>
  <si>
    <t>HGC-Lib-26088949</t>
  </si>
  <si>
    <t>HGC-Lib-26088951</t>
  </si>
  <si>
    <t>HGC-Lib-26088954</t>
  </si>
  <si>
    <t>HGC-Lib-26088957</t>
  </si>
  <si>
    <t>HGC-Lib-26088959</t>
  </si>
  <si>
    <t>HGC-Lib-26088977</t>
  </si>
  <si>
    <t>HGC-Lib-26088985</t>
  </si>
  <si>
    <t>HGC-Lib-26088986</t>
  </si>
  <si>
    <t>HGC-Lib-26088988</t>
  </si>
  <si>
    <t>HGC-Lib-26088991</t>
  </si>
  <si>
    <t>HGC-Lib-26089003</t>
  </si>
  <si>
    <t>HGC-Lib-26089031</t>
  </si>
  <si>
    <t>HGC-Lib-26088354</t>
  </si>
  <si>
    <t>HGC-Lib-26088358</t>
  </si>
  <si>
    <t>HGC-Lib-26088384</t>
  </si>
  <si>
    <t>HGC-Lib-26088386</t>
  </si>
  <si>
    <t>HGC-Lib-26088391</t>
  </si>
  <si>
    <t>HGC-Lib-26088393</t>
  </si>
  <si>
    <t>HGC-Lib-26088397</t>
  </si>
  <si>
    <t>HGC-Lib-26088398</t>
  </si>
  <si>
    <t>HGC-Lib-26088407</t>
  </si>
  <si>
    <t>HGC-Lib-26088409</t>
  </si>
  <si>
    <t>HGC-Lib-26088417</t>
  </si>
  <si>
    <t>HGC-Lib-26088418</t>
  </si>
  <si>
    <t>HGC-Lib-26088419</t>
  </si>
  <si>
    <t>HGC-Lib-26088421</t>
  </si>
  <si>
    <t>HGC-Lib-26088423</t>
  </si>
  <si>
    <t>HGC-Lib-26088436</t>
  </si>
  <si>
    <t>HGC-Lib-26088439</t>
  </si>
  <si>
    <t>HGC-Lib-26088446</t>
  </si>
  <si>
    <t>HGC-Lib-26088448</t>
  </si>
  <si>
    <t>HGC-Lib-26088450</t>
  </si>
  <si>
    <t>HGC-Lib-26088460</t>
  </si>
  <si>
    <t>HGC-Lib-26088479</t>
  </si>
  <si>
    <t>HGC-Lib-26088536</t>
  </si>
  <si>
    <t>HGC-Lib-26088543</t>
  </si>
  <si>
    <t>HGC-Lib-26088544</t>
  </si>
  <si>
    <t>HGC-Lib-26088551</t>
  </si>
  <si>
    <t>HGC-Lib-26088558</t>
  </si>
  <si>
    <t>HGC-Lib-26088563</t>
  </si>
  <si>
    <t>HGC-Lib-26088590</t>
  </si>
  <si>
    <t>HGC-Lib-26088594</t>
  </si>
  <si>
    <t>HGC-Lib-26088938</t>
  </si>
  <si>
    <t>HGC-Lib-26088941</t>
  </si>
  <si>
    <t>HGC-Lib-26088953</t>
  </si>
  <si>
    <t>HGC-Lib-26088989</t>
  </si>
  <si>
    <t>HGC-Lib-26089839</t>
  </si>
  <si>
    <t>HGC-Lib-26089840</t>
  </si>
  <si>
    <t>HGC-Lib-26089841</t>
  </si>
  <si>
    <t>HGC-Lib-26089842</t>
  </si>
  <si>
    <t>HGC-Lib-26089837</t>
  </si>
  <si>
    <t>/</t>
  </si>
  <si>
    <t>HGC-Lib-26089838</t>
  </si>
  <si>
    <t>HGC-Lib-26089843</t>
  </si>
  <si>
    <t>HGC-Lib-26089844</t>
  </si>
  <si>
    <t>HGC-Lib-26089845</t>
  </si>
  <si>
    <t>HGC-Lib-26089846</t>
  </si>
  <si>
    <t>HGC-Lib-26089847</t>
  </si>
  <si>
    <t>HGC-POOL-26089876</t>
  </si>
  <si>
    <t>HGC-Lib-26083226</t>
  </si>
  <si>
    <t>华大单barcode文库</t>
  </si>
  <si>
    <t>已磷酸化</t>
  </si>
  <si>
    <t>HGC-Lib-26083218</t>
  </si>
  <si>
    <t>HGC-Lib-26084739</t>
  </si>
  <si>
    <t>HGC-Lib-26084763</t>
  </si>
  <si>
    <t>HGC-Lib-26084765</t>
  </si>
  <si>
    <t>HGC-Lib-26084771</t>
  </si>
  <si>
    <t>HGC-Lib-26085375</t>
  </si>
  <si>
    <t>HGC-Lib-26085647</t>
  </si>
  <si>
    <t>0713百易汇能-B7</t>
  </si>
  <si>
    <t>华大双barcode文库</t>
  </si>
  <si>
    <t>HGC-Lib-26085649</t>
  </si>
  <si>
    <t>0713百易汇能-D7</t>
  </si>
  <si>
    <t>HGC-Lib-26085658</t>
  </si>
  <si>
    <t>0713百易汇能-E8</t>
  </si>
  <si>
    <t>HGC-Lib-26085659</t>
  </si>
  <si>
    <t>0713百易汇能-F8</t>
  </si>
  <si>
    <t>HGC-Lib-26085620</t>
  </si>
  <si>
    <t>0713百易汇能-G3</t>
  </si>
  <si>
    <t>HGC-Lib-26087647</t>
  </si>
  <si>
    <t>0716-1百易汇能-A4</t>
  </si>
  <si>
    <t>HGC-Lib-26088722</t>
  </si>
  <si>
    <t>HGC-Lib-26088726</t>
  </si>
  <si>
    <t>HGC-Lib-26088723</t>
  </si>
  <si>
    <t>浓度</t>
  </si>
  <si>
    <t>主峰片段</t>
  </si>
  <si>
    <t>1pmol产物对应质量（ng）</t>
  </si>
  <si>
    <t>环化个数</t>
  </si>
  <si>
    <t>环化浓度</t>
  </si>
  <si>
    <t>环化效率</t>
  </si>
  <si>
    <t>lane编号</t>
  </si>
  <si>
    <t>摩尔浓度(nM/L）</t>
  </si>
  <si>
    <t>混合文库摩尔质量总和</t>
  </si>
  <si>
    <t>混合文库总体积</t>
  </si>
  <si>
    <t>混合文库浓度（nM/L）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</si>
</sst>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0.00_);[Red]\(0.00\)"/>
    <numFmt numFmtId="177" formatCode="0.0_);[Red]\(0.0\)"/>
    <numFmt numFmtId="178" formatCode="0.000_);[Red]\(0.000\)"/>
    <numFmt numFmtId="179" formatCode="0.00_ "/>
    <numFmt numFmtId="180" formatCode="0.000_ "/>
    <numFmt numFmtId="181" formatCode="0.0000_);[Red]\(0.0000\)"/>
    <numFmt numFmtId="182" formatCode="0.0_ "/>
    <numFmt numFmtId="183" formatCode="0_);[Red]\(0\)"/>
    <numFmt numFmtId="184" formatCode="0.00;[Red]0.00"/>
    <numFmt numFmtId="185" formatCode="0.000"/>
    <numFmt numFmtId="186" formatCode="[$-409]yyyy/m/d\ h:mm\ "/>
    <numFmt numFmtId="187" formatCode="_ [$￥-804]* #,##0.00_ ;_ [$￥-804]* \-#,##0.00_ ;_ [$￥-804]* &quot;-&quot;??_ ;_ @_ "/>
    <numFmt numFmtId="188" formatCode="_ [$¥-804]* #,##0.00_ ;_ [$¥-804]* \-#,##0.00_ ;_ [$¥-804]* &quot;-&quot;??_ ;_ @_ "/>
  </numFmts>
  <fonts count="25" x14ac:knownFonts="1">
    <font>
      <sz val="12"/>
      <name val="宋体"/>
      <charset val="134"/>
    </font>
    <font>
      <b/>
      <sz val="12"/>
      <name val="Times New Roman"/>
      <family val="1"/>
    </font>
    <font>
      <sz val="12"/>
      <name val="Times New Roman"/>
      <family val="1"/>
    </font>
    <font>
      <b/>
      <sz val="10"/>
      <name val="宋体"/>
      <family val="3"/>
      <charset val="134"/>
    </font>
    <font>
      <b/>
      <sz val="12"/>
      <name val="宋体"/>
      <family val="3"/>
      <charset val="134"/>
    </font>
    <font>
      <sz val="20"/>
      <name val="Times New Roman"/>
      <family val="1"/>
    </font>
    <font>
      <b/>
      <sz val="14"/>
      <name val="Times New Roman"/>
      <family val="1"/>
    </font>
    <font>
      <sz val="14"/>
      <name val="Times New Roman"/>
      <family val="1"/>
    </font>
    <font>
      <b/>
      <sz val="14"/>
      <name val="宋体"/>
      <family val="3"/>
      <charset val="134"/>
    </font>
    <font>
      <b/>
      <sz val="16"/>
      <name val="宋体"/>
      <family val="3"/>
      <charset val="134"/>
    </font>
    <font>
      <sz val="18"/>
      <name val="Times New Roman"/>
      <family val="1"/>
    </font>
    <font>
      <b/>
      <sz val="18"/>
      <name val="Times New Roman"/>
      <family val="1"/>
    </font>
    <font>
      <b/>
      <sz val="18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10"/>
      <name val="Times New Roman"/>
      <family val="1"/>
    </font>
    <font>
      <b/>
      <sz val="18"/>
      <name val="Times New Roman"/>
      <family val="1"/>
    </font>
    <font>
      <b/>
      <sz val="16"/>
      <name val="Times New Roman"/>
      <family val="1"/>
    </font>
    <font>
      <sz val="12"/>
      <name val="Times New Roman"/>
      <family val="1"/>
    </font>
    <font>
      <b/>
      <sz val="14"/>
      <name val="Times New Roman"/>
      <family val="1"/>
    </font>
    <font>
      <sz val="14"/>
      <name val="Times New Roman"/>
      <family val="1"/>
    </font>
    <font>
      <b/>
      <sz val="10"/>
      <name val="Times New Roman"/>
      <family val="1"/>
    </font>
    <font>
      <sz val="10"/>
      <name val="Times New Roman"/>
    </font>
  </fonts>
  <fills count="11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3399FF"/>
        <bgColor rgb="FF3399FF"/>
      </patternFill>
    </fill>
    <fill>
      <patternFill patternType="solid">
        <fgColor rgb="FFFF0000"/>
        <bgColor rgb="FFFF000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>
      <alignment vertical="center"/>
    </xf>
    <xf numFmtId="0" fontId="13" fillId="0" borderId="0"/>
    <xf numFmtId="186" fontId="13" fillId="0" borderId="0"/>
    <xf numFmtId="187" fontId="13" fillId="0" borderId="0">
      <alignment vertical="center"/>
    </xf>
    <xf numFmtId="187" fontId="14" fillId="0" borderId="0"/>
    <xf numFmtId="188" fontId="13" fillId="0" borderId="0">
      <alignment vertical="center"/>
    </xf>
    <xf numFmtId="186" fontId="13" fillId="0" borderId="0">
      <alignment vertical="center"/>
    </xf>
    <xf numFmtId="9" fontId="15" fillId="0" borderId="0">
      <alignment vertical="center"/>
    </xf>
    <xf numFmtId="0" fontId="13" fillId="0" borderId="0">
      <alignment vertical="center"/>
    </xf>
    <xf numFmtId="0" fontId="13" fillId="0" borderId="0"/>
  </cellStyleXfs>
  <cellXfs count="97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9" fontId="2" fillId="0" borderId="0" xfId="7" applyFont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80" fontId="2" fillId="0" borderId="0" xfId="0" applyNumberFormat="1" applyFont="1" applyAlignment="1">
      <alignment horizontal="center" vertical="center"/>
    </xf>
    <xf numFmtId="181" fontId="2" fillId="0" borderId="0" xfId="0" applyNumberFormat="1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9" fontId="5" fillId="0" borderId="0" xfId="7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82" fontId="2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83" fontId="7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178" fontId="7" fillId="0" borderId="0" xfId="0" applyNumberFormat="1" applyFont="1" applyAlignment="1">
      <alignment horizontal="center" vertical="center"/>
    </xf>
    <xf numFmtId="184" fontId="7" fillId="0" borderId="0" xfId="7" applyNumberFormat="1" applyFont="1" applyAlignment="1">
      <alignment horizontal="center" vertical="center"/>
    </xf>
    <xf numFmtId="177" fontId="7" fillId="0" borderId="0" xfId="7" applyNumberFormat="1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178" fontId="10" fillId="0" borderId="0" xfId="0" applyNumberFormat="1" applyFont="1" applyAlignment="1">
      <alignment horizontal="center" vertical="center"/>
    </xf>
    <xf numFmtId="179" fontId="10" fillId="0" borderId="0" xfId="0" applyNumberFormat="1" applyFont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176" fontId="9" fillId="2" borderId="3" xfId="0" applyNumberFormat="1" applyFont="1" applyFill="1" applyBorder="1" applyAlignment="1">
      <alignment horizontal="center" vertical="center"/>
    </xf>
    <xf numFmtId="183" fontId="9" fillId="2" borderId="3" xfId="0" applyNumberFormat="1" applyFont="1" applyFill="1" applyBorder="1" applyAlignment="1">
      <alignment horizontal="center" vertical="center"/>
    </xf>
    <xf numFmtId="179" fontId="9" fillId="2" borderId="3" xfId="0" applyNumberFormat="1" applyFont="1" applyFill="1" applyBorder="1" applyAlignment="1">
      <alignment horizontal="center" vertical="center"/>
    </xf>
    <xf numFmtId="178" fontId="9" fillId="2" borderId="3" xfId="0" applyNumberFormat="1" applyFont="1" applyFill="1" applyBorder="1" applyAlignment="1">
      <alignment horizontal="center" vertical="center"/>
    </xf>
    <xf numFmtId="176" fontId="9" fillId="3" borderId="3" xfId="0" applyNumberFormat="1" applyFont="1" applyFill="1" applyBorder="1" applyAlignment="1">
      <alignment horizontal="center" vertical="center"/>
    </xf>
    <xf numFmtId="177" fontId="9" fillId="2" borderId="3" xfId="0" applyNumberFormat="1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center" vertical="center"/>
    </xf>
    <xf numFmtId="176" fontId="12" fillId="2" borderId="0" xfId="0" applyNumberFormat="1" applyFont="1" applyFill="1" applyAlignment="1">
      <alignment horizontal="center" vertical="center"/>
    </xf>
    <xf numFmtId="180" fontId="12" fillId="2" borderId="0" xfId="0" applyNumberFormat="1" applyFont="1" applyFill="1" applyAlignment="1">
      <alignment horizontal="center" vertical="center"/>
    </xf>
    <xf numFmtId="178" fontId="12" fillId="2" borderId="0" xfId="0" applyNumberFormat="1" applyFont="1" applyFill="1" applyAlignment="1">
      <alignment horizontal="center" vertical="center"/>
    </xf>
    <xf numFmtId="177" fontId="12" fillId="2" borderId="0" xfId="0" applyNumberFormat="1" applyFont="1" applyFill="1" applyAlignment="1">
      <alignment horizontal="center" vertical="center"/>
    </xf>
    <xf numFmtId="179" fontId="12" fillId="2" borderId="1" xfId="0" applyNumberFormat="1" applyFont="1" applyFill="1" applyBorder="1" applyAlignment="1">
      <alignment horizontal="center" vertical="center"/>
    </xf>
    <xf numFmtId="180" fontId="8" fillId="4" borderId="1" xfId="0" applyNumberFormat="1" applyFont="1" applyFill="1" applyBorder="1" applyAlignment="1">
      <alignment horizontal="center" vertical="center"/>
    </xf>
    <xf numFmtId="181" fontId="8" fillId="2" borderId="1" xfId="0" applyNumberFormat="1" applyFont="1" applyFill="1" applyBorder="1" applyAlignment="1">
      <alignment horizontal="center" vertical="center"/>
    </xf>
    <xf numFmtId="178" fontId="8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7" fontId="3" fillId="2" borderId="1" xfId="0" applyNumberFormat="1" applyFont="1" applyFill="1" applyBorder="1" applyAlignment="1">
      <alignment horizontal="center" vertical="center"/>
    </xf>
    <xf numFmtId="178" fontId="3" fillId="3" borderId="1" xfId="0" applyNumberFormat="1" applyFont="1" applyFill="1" applyBorder="1" applyAlignment="1">
      <alignment horizontal="center" vertical="center"/>
    </xf>
    <xf numFmtId="0" fontId="17" fillId="0" borderId="0" xfId="0" applyFont="1" applyAlignment="1"/>
    <xf numFmtId="0" fontId="17" fillId="0" borderId="0" xfId="0" applyFont="1" applyAlignment="1">
      <alignment horizontal="center" vertical="center"/>
    </xf>
    <xf numFmtId="180" fontId="17" fillId="4" borderId="1" xfId="0" applyNumberFormat="1" applyFont="1" applyFill="1" applyBorder="1" applyAlignment="1">
      <alignment horizontal="center" vertical="center" wrapText="1"/>
    </xf>
    <xf numFmtId="181" fontId="17" fillId="2" borderId="1" xfId="0" applyNumberFormat="1" applyFont="1" applyFill="1" applyBorder="1" applyAlignment="1">
      <alignment horizontal="center" vertical="center" wrapText="1"/>
    </xf>
    <xf numFmtId="179" fontId="17" fillId="0" borderId="0" xfId="0" applyNumberFormat="1" applyFont="1" applyAlignment="1">
      <alignment horizontal="center" vertical="center"/>
    </xf>
    <xf numFmtId="176" fontId="17" fillId="0" borderId="0" xfId="0" applyNumberFormat="1" applyFont="1" applyAlignment="1">
      <alignment horizontal="center" vertical="center" wrapText="1"/>
    </xf>
    <xf numFmtId="9" fontId="17" fillId="0" borderId="0" xfId="7" applyFont="1" applyAlignment="1">
      <alignment horizontal="center" vertical="center" wrapText="1"/>
    </xf>
    <xf numFmtId="0" fontId="18" fillId="2" borderId="0" xfId="0" applyFont="1" applyFill="1" applyAlignment="1">
      <alignment horizontal="center" vertical="center"/>
    </xf>
    <xf numFmtId="176" fontId="18" fillId="2" borderId="0" xfId="0" applyNumberFormat="1" applyFont="1" applyFill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5" borderId="3" xfId="0" applyFont="1" applyFill="1" applyBorder="1" applyAlignment="1">
      <alignment horizontal="center" vertical="center"/>
    </xf>
    <xf numFmtId="177" fontId="19" fillId="2" borderId="3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76" fontId="21" fillId="4" borderId="1" xfId="0" applyNumberFormat="1" applyFont="1" applyFill="1" applyBorder="1" applyAlignment="1">
      <alignment horizontal="center" vertical="center"/>
    </xf>
    <xf numFmtId="179" fontId="22" fillId="4" borderId="1" xfId="0" applyNumberFormat="1" applyFont="1" applyFill="1" applyBorder="1" applyAlignment="1">
      <alignment horizontal="center" vertical="center"/>
    </xf>
    <xf numFmtId="180" fontId="21" fillId="4" borderId="1" xfId="0" applyNumberFormat="1" applyFont="1" applyFill="1" applyBorder="1" applyAlignment="1">
      <alignment horizontal="center" vertical="center"/>
    </xf>
    <xf numFmtId="179" fontId="21" fillId="4" borderId="1" xfId="0" applyNumberFormat="1" applyFont="1" applyFill="1" applyBorder="1" applyAlignment="1">
      <alignment horizontal="center" vertical="center"/>
    </xf>
    <xf numFmtId="178" fontId="21" fillId="2" borderId="1" xfId="0" applyNumberFormat="1" applyFont="1" applyFill="1" applyBorder="1" applyAlignment="1">
      <alignment horizontal="center" vertical="center"/>
    </xf>
    <xf numFmtId="180" fontId="22" fillId="3" borderId="1" xfId="0" applyNumberFormat="1" applyFont="1" applyFill="1" applyBorder="1" applyAlignment="1">
      <alignment horizontal="center" vertical="center"/>
    </xf>
    <xf numFmtId="176" fontId="21" fillId="2" borderId="1" xfId="0" applyNumberFormat="1" applyFont="1" applyFill="1" applyBorder="1" applyAlignment="1">
      <alignment horizontal="center" vertical="center"/>
    </xf>
    <xf numFmtId="176" fontId="22" fillId="2" borderId="1" xfId="0" applyNumberFormat="1" applyFont="1" applyFill="1" applyBorder="1" applyAlignment="1">
      <alignment horizontal="center" vertical="center"/>
    </xf>
    <xf numFmtId="178" fontId="15" fillId="5" borderId="2" xfId="0" applyNumberFormat="1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/>
    <xf numFmtId="0" fontId="12" fillId="0" borderId="0" xfId="0" applyFont="1" applyAlignment="1">
      <alignment horizontal="center" vertical="center"/>
    </xf>
    <xf numFmtId="0" fontId="0" fillId="0" borderId="0" xfId="0" applyAlignment="1"/>
    <xf numFmtId="2" fontId="24" fillId="0" borderId="0" xfId="0" applyNumberFormat="1" applyFont="1" applyAlignment="1">
      <alignment horizontal="center" vertical="center"/>
    </xf>
    <xf numFmtId="185" fontId="24" fillId="0" borderId="0" xfId="0" applyNumberFormat="1" applyFont="1" applyAlignment="1">
      <alignment horizontal="center" vertical="center"/>
    </xf>
    <xf numFmtId="2" fontId="24" fillId="0" borderId="0" xfId="0" applyNumberFormat="1" applyFont="1" applyAlignment="1"/>
    <xf numFmtId="185" fontId="24" fillId="0" borderId="0" xfId="0" applyNumberFormat="1" applyFont="1" applyAlignment="1"/>
    <xf numFmtId="0" fontId="24" fillId="0" borderId="4" xfId="0" applyFont="1" applyBorder="1" applyAlignment="1">
      <alignment horizontal="center" vertical="center"/>
    </xf>
    <xf numFmtId="2" fontId="24" fillId="0" borderId="4" xfId="0" applyNumberFormat="1" applyFont="1" applyBorder="1" applyAlignment="1">
      <alignment horizontal="center" vertical="center"/>
    </xf>
    <xf numFmtId="185" fontId="24" fillId="0" borderId="4" xfId="0" applyNumberFormat="1" applyFont="1" applyBorder="1" applyAlignment="1">
      <alignment horizontal="center" vertical="center"/>
    </xf>
    <xf numFmtId="185" fontId="24" fillId="8" borderId="0" xfId="0" applyNumberFormat="1" applyFont="1" applyFill="1" applyAlignment="1">
      <alignment horizontal="center" vertical="center"/>
    </xf>
    <xf numFmtId="0" fontId="24" fillId="9" borderId="4" xfId="0" applyFont="1" applyFill="1" applyBorder="1" applyAlignment="1">
      <alignment horizontal="center" vertical="center"/>
    </xf>
    <xf numFmtId="0" fontId="24" fillId="10" borderId="4" xfId="0" applyFont="1" applyFill="1" applyBorder="1" applyAlignment="1">
      <alignment horizontal="center" vertical="center"/>
    </xf>
    <xf numFmtId="0" fontId="24" fillId="0" borderId="4" xfId="0" applyFont="1" applyBorder="1" applyAlignment="1"/>
    <xf numFmtId="2" fontId="24" fillId="0" borderId="4" xfId="0" applyNumberFormat="1" applyFont="1" applyBorder="1" applyAlignment="1"/>
    <xf numFmtId="0" fontId="24" fillId="0" borderId="4" xfId="0" applyFont="1" applyBorder="1" applyAlignment="1">
      <alignment horizontal="center" vertical="center"/>
    </xf>
    <xf numFmtId="0" fontId="24" fillId="0" borderId="6" xfId="0" applyFont="1" applyBorder="1" applyAlignment="1"/>
    <xf numFmtId="0" fontId="24" fillId="0" borderId="5" xfId="0" applyFont="1" applyBorder="1" applyAlignment="1"/>
    <xf numFmtId="0" fontId="24" fillId="10" borderId="4" xfId="0" applyFont="1" applyFill="1" applyBorder="1" applyAlignment="1">
      <alignment horizontal="center" vertical="center"/>
    </xf>
  </cellXfs>
  <cellStyles count="10">
    <cellStyle name="Normal_tmc program 2003may24 (Excel 5.0)" xfId="4" xr:uid="{00000000-0005-0000-0000-000004000000}"/>
    <cellStyle name="百分比" xfId="7" builtinId="5"/>
    <cellStyle name="常规" xfId="0" builtinId="0"/>
    <cellStyle name="常规 10 3" xfId="8" xr:uid="{00000000-0005-0000-0000-000008000000}"/>
    <cellStyle name="常规 13" xfId="3" xr:uid="{00000000-0005-0000-0000-000003000000}"/>
    <cellStyle name="常规 130 3 2" xfId="9" xr:uid="{00000000-0005-0000-0000-000009000000}"/>
    <cellStyle name="常规 156 3" xfId="5" xr:uid="{00000000-0005-0000-0000-000005000000}"/>
    <cellStyle name="常规 2" xfId="1" xr:uid="{00000000-0005-0000-0000-000001000000}"/>
    <cellStyle name="常规 2 4 2 2" xfId="2" xr:uid="{00000000-0005-0000-0000-000002000000}"/>
    <cellStyle name="常规 31" xfId="6" xr:uid="{00000000-0005-0000-0000-000006000000}"/>
  </cellStyles>
  <dxfs count="11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44"/>
  <sheetViews>
    <sheetView workbookViewId="0">
      <selection activeCell="M5" sqref="M5"/>
    </sheetView>
  </sheetViews>
  <sheetFormatPr defaultColWidth="8.75" defaultRowHeight="30" customHeight="1" x14ac:dyDescent="0.15"/>
  <cols>
    <col min="1" max="1" width="12" style="27" customWidth="1"/>
    <col min="2" max="2" width="19" style="27" customWidth="1"/>
    <col min="3" max="3" width="22" style="29" customWidth="1"/>
    <col min="4" max="4" width="26" style="29" customWidth="1"/>
    <col min="5" max="5" width="22" style="30" customWidth="1"/>
    <col min="6" max="6" width="60" style="31" customWidth="1"/>
    <col min="7" max="7" width="16" style="27" customWidth="1"/>
    <col min="8" max="8" width="28" style="27" customWidth="1"/>
    <col min="9" max="9" width="27" style="29" customWidth="1"/>
    <col min="10" max="10" width="8" style="32" customWidth="1"/>
    <col min="11" max="11" width="8" style="80" customWidth="1"/>
    <col min="12" max="12" width="8" style="32" customWidth="1"/>
    <col min="13" max="13" width="21" style="27" customWidth="1"/>
    <col min="14" max="14" width="22" style="27" customWidth="1"/>
    <col min="15" max="15" width="23" style="27" customWidth="1"/>
    <col min="16" max="16" width="12" style="27" customWidth="1"/>
    <col min="17" max="17" width="10" style="27" customWidth="1"/>
    <col min="18" max="18" width="17.25" style="27" customWidth="1"/>
    <col min="19" max="21" width="8.75" style="27" customWidth="1"/>
    <col min="22" max="22" width="9.125" style="27" customWidth="1"/>
    <col min="23" max="29" width="8.75" style="27" customWidth="1"/>
    <col min="30" max="16384" width="8.75" style="27"/>
  </cols>
  <sheetData>
    <row r="1" spans="1:17" s="26" customFormat="1" ht="90" customHeight="1" x14ac:dyDescent="0.15">
      <c r="A1" s="61" t="s">
        <v>79</v>
      </c>
      <c r="B1" s="33" t="s">
        <v>80</v>
      </c>
      <c r="C1" s="42" t="s">
        <v>81</v>
      </c>
      <c r="D1" s="42" t="s">
        <v>6</v>
      </c>
      <c r="E1" s="43" t="s">
        <v>82</v>
      </c>
      <c r="F1" s="44" t="s">
        <v>83</v>
      </c>
      <c r="G1" s="33" t="s">
        <v>11</v>
      </c>
      <c r="H1" s="45" t="s">
        <v>12</v>
      </c>
      <c r="I1" s="62" t="s">
        <v>84</v>
      </c>
      <c r="J1" s="46" t="s">
        <v>85</v>
      </c>
      <c r="K1" s="46" t="s">
        <v>86</v>
      </c>
      <c r="L1" s="46" t="s">
        <v>87</v>
      </c>
      <c r="M1" s="63" t="s">
        <v>88</v>
      </c>
      <c r="N1" s="63" t="s">
        <v>81</v>
      </c>
      <c r="O1" s="63" t="s">
        <v>89</v>
      </c>
      <c r="P1" s="63" t="s">
        <v>90</v>
      </c>
      <c r="Q1" s="63" t="s">
        <v>91</v>
      </c>
    </row>
    <row r="2" spans="1:17" ht="30" customHeight="1" x14ac:dyDescent="0.15">
      <c r="A2" s="85" t="s">
        <v>16</v>
      </c>
      <c r="B2" s="85" t="s">
        <v>92</v>
      </c>
      <c r="C2" s="85">
        <v>7.16</v>
      </c>
      <c r="D2" s="86">
        <v>570</v>
      </c>
      <c r="E2" s="87">
        <v>50</v>
      </c>
      <c r="F2" s="87">
        <f>ROUND(E2/C2*G3,3)</f>
        <v>6.9829999999999997</v>
      </c>
      <c r="G2" s="85" t="s">
        <v>17</v>
      </c>
      <c r="H2" s="85" t="s">
        <v>18</v>
      </c>
      <c r="I2" s="87"/>
      <c r="J2" s="85"/>
      <c r="K2" s="85"/>
      <c r="L2" s="85"/>
      <c r="M2" s="77">
        <v>378</v>
      </c>
      <c r="N2" s="77">
        <v>7.16</v>
      </c>
      <c r="O2" s="77" t="s">
        <v>93</v>
      </c>
      <c r="P2" s="77" t="s">
        <v>94</v>
      </c>
      <c r="Q2" s="77" t="s">
        <v>95</v>
      </c>
    </row>
    <row r="3" spans="1:17" ht="30" customHeight="1" x14ac:dyDescent="0.2">
      <c r="A3" s="78"/>
      <c r="B3" s="78"/>
      <c r="C3" s="78"/>
      <c r="D3" s="81">
        <f>ROUND(SUM(D2:D2),2)</f>
        <v>570</v>
      </c>
      <c r="E3" s="82">
        <v>50</v>
      </c>
      <c r="F3" s="82">
        <f>IF(G3&gt;1,ROUND(SUM(F2:F2)/G3*2,3),ROUND(SUM(F2:F2),3))</f>
        <v>6.9829999999999997</v>
      </c>
      <c r="G3" s="77">
        <v>1</v>
      </c>
      <c r="H3" s="78"/>
      <c r="I3" s="88">
        <f>ROUND(20-F3,3)</f>
        <v>13.016999999999999</v>
      </c>
      <c r="J3" s="78"/>
      <c r="K3" s="78"/>
      <c r="L3" s="78"/>
      <c r="M3" s="77">
        <f>AVERAGE(M2:M2)</f>
        <v>378</v>
      </c>
      <c r="N3" s="78"/>
      <c r="O3" s="78"/>
      <c r="P3" s="78"/>
      <c r="Q3" s="78"/>
    </row>
    <row r="4" spans="1:17" ht="30" customHeight="1" x14ac:dyDescent="0.15">
      <c r="A4" s="85" t="s">
        <v>19</v>
      </c>
      <c r="B4" s="85" t="s">
        <v>96</v>
      </c>
      <c r="C4" s="85">
        <v>8.44</v>
      </c>
      <c r="D4" s="86">
        <v>560</v>
      </c>
      <c r="E4" s="87">
        <v>50</v>
      </c>
      <c r="F4" s="87">
        <f>ROUND(E4/C4*G5,3)</f>
        <v>5.9240000000000004</v>
      </c>
      <c r="G4" s="85" t="s">
        <v>17</v>
      </c>
      <c r="H4" s="85" t="s">
        <v>18</v>
      </c>
      <c r="I4" s="87"/>
      <c r="J4" s="85"/>
      <c r="K4" s="85"/>
      <c r="L4" s="85"/>
      <c r="M4" s="77">
        <v>371</v>
      </c>
      <c r="N4" s="77">
        <v>8.44</v>
      </c>
      <c r="O4" s="77" t="s">
        <v>93</v>
      </c>
      <c r="P4" s="77" t="s">
        <v>94</v>
      </c>
      <c r="Q4" s="77" t="s">
        <v>95</v>
      </c>
    </row>
    <row r="5" spans="1:17" ht="30" customHeight="1" x14ac:dyDescent="0.2">
      <c r="A5" s="78"/>
      <c r="B5" s="78"/>
      <c r="C5" s="78"/>
      <c r="D5" s="81">
        <f>ROUND(SUM(D4:D4),2)</f>
        <v>560</v>
      </c>
      <c r="E5" s="82">
        <v>50</v>
      </c>
      <c r="F5" s="82">
        <f>IF(G5&gt;1,ROUND(SUM(F4:F4)/G5*2,3),ROUND(SUM(F4:F4),3))</f>
        <v>5.9240000000000004</v>
      </c>
      <c r="G5" s="77">
        <v>1</v>
      </c>
      <c r="H5" s="78"/>
      <c r="I5" s="88">
        <f>ROUND(20-F5,3)</f>
        <v>14.076000000000001</v>
      </c>
      <c r="J5" s="78"/>
      <c r="K5" s="78"/>
      <c r="L5" s="78"/>
      <c r="M5" s="77">
        <f>AVERAGE(M4:M4)</f>
        <v>371</v>
      </c>
      <c r="N5" s="78"/>
      <c r="O5" s="78"/>
      <c r="P5" s="78"/>
      <c r="Q5" s="78"/>
    </row>
    <row r="6" spans="1:17" ht="30" customHeight="1" x14ac:dyDescent="0.15">
      <c r="A6" s="85" t="s">
        <v>20</v>
      </c>
      <c r="B6" s="85" t="s">
        <v>97</v>
      </c>
      <c r="C6" s="85">
        <v>8.26</v>
      </c>
      <c r="D6" s="86">
        <v>570</v>
      </c>
      <c r="E6" s="87">
        <v>50</v>
      </c>
      <c r="F6" s="87">
        <f>ROUND(E6/C6*G7,3)</f>
        <v>6.0529999999999999</v>
      </c>
      <c r="G6" s="85" t="s">
        <v>17</v>
      </c>
      <c r="H6" s="85" t="s">
        <v>18</v>
      </c>
      <c r="I6" s="87"/>
      <c r="J6" s="85"/>
      <c r="K6" s="85"/>
      <c r="L6" s="85"/>
      <c r="M6" s="77">
        <v>418</v>
      </c>
      <c r="N6" s="77">
        <v>8.26</v>
      </c>
      <c r="O6" s="77" t="s">
        <v>93</v>
      </c>
      <c r="P6" s="77" t="s">
        <v>94</v>
      </c>
      <c r="Q6" s="77" t="s">
        <v>95</v>
      </c>
    </row>
    <row r="7" spans="1:17" ht="30" customHeight="1" x14ac:dyDescent="0.2">
      <c r="A7" s="78"/>
      <c r="B7" s="78"/>
      <c r="C7" s="78"/>
      <c r="D7" s="81">
        <f>ROUND(SUM(D6:D6),2)</f>
        <v>570</v>
      </c>
      <c r="E7" s="82">
        <v>50</v>
      </c>
      <c r="F7" s="82">
        <f>IF(G7&gt;1,ROUND(SUM(F6:F6)/G7*2,3),ROUND(SUM(F6:F6),3))</f>
        <v>6.0529999999999999</v>
      </c>
      <c r="G7" s="77">
        <v>1</v>
      </c>
      <c r="H7" s="78"/>
      <c r="I7" s="88">
        <f>ROUND(20-F7,3)</f>
        <v>13.946999999999999</v>
      </c>
      <c r="J7" s="78"/>
      <c r="K7" s="78"/>
      <c r="L7" s="78"/>
      <c r="M7" s="77">
        <f>AVERAGE(M6:M6)</f>
        <v>418</v>
      </c>
      <c r="N7" s="78"/>
      <c r="O7" s="78"/>
      <c r="P7" s="78"/>
      <c r="Q7" s="78"/>
    </row>
    <row r="8" spans="1:17" ht="30" customHeight="1" x14ac:dyDescent="0.15">
      <c r="A8" s="85" t="s">
        <v>21</v>
      </c>
      <c r="B8" s="85" t="s">
        <v>98</v>
      </c>
      <c r="C8" s="85">
        <v>7.8</v>
      </c>
      <c r="D8" s="86">
        <v>570</v>
      </c>
      <c r="E8" s="87">
        <v>50</v>
      </c>
      <c r="F8" s="87">
        <f>ROUND(E8/C8*G9,3)</f>
        <v>6.41</v>
      </c>
      <c r="G8" s="85" t="s">
        <v>17</v>
      </c>
      <c r="H8" s="85" t="s">
        <v>18</v>
      </c>
      <c r="I8" s="87"/>
      <c r="J8" s="85"/>
      <c r="K8" s="85"/>
      <c r="L8" s="85"/>
      <c r="M8" s="77">
        <v>414</v>
      </c>
      <c r="N8" s="77">
        <v>7.8</v>
      </c>
      <c r="O8" s="77" t="s">
        <v>93</v>
      </c>
      <c r="P8" s="77" t="s">
        <v>94</v>
      </c>
      <c r="Q8" s="77" t="s">
        <v>95</v>
      </c>
    </row>
    <row r="9" spans="1:17" ht="30" customHeight="1" x14ac:dyDescent="0.2">
      <c r="A9" s="78"/>
      <c r="B9" s="78"/>
      <c r="C9" s="78"/>
      <c r="D9" s="81">
        <f>ROUND(SUM(D8:D8),2)</f>
        <v>570</v>
      </c>
      <c r="E9" s="82">
        <v>50</v>
      </c>
      <c r="F9" s="82">
        <f>IF(G9&gt;1,ROUND(SUM(F8:F8)/G9*2,3),ROUND(SUM(F8:F8),3))</f>
        <v>6.41</v>
      </c>
      <c r="G9" s="77">
        <v>1</v>
      </c>
      <c r="H9" s="78"/>
      <c r="I9" s="88">
        <f>ROUND(20-F9,3)</f>
        <v>13.59</v>
      </c>
      <c r="J9" s="78"/>
      <c r="K9" s="78"/>
      <c r="L9" s="78"/>
      <c r="M9" s="77">
        <f>AVERAGE(M8:M8)</f>
        <v>414</v>
      </c>
      <c r="N9" s="78"/>
      <c r="O9" s="78"/>
      <c r="P9" s="78"/>
      <c r="Q9" s="78"/>
    </row>
    <row r="10" spans="1:17" ht="30" customHeight="1" x14ac:dyDescent="0.15">
      <c r="A10" s="85" t="s">
        <v>22</v>
      </c>
      <c r="B10" s="85" t="s">
        <v>99</v>
      </c>
      <c r="C10" s="85">
        <v>6.7</v>
      </c>
      <c r="D10" s="86">
        <v>570</v>
      </c>
      <c r="E10" s="87">
        <v>50</v>
      </c>
      <c r="F10" s="87">
        <f>ROUND(E10/C10*G11,3)</f>
        <v>7.4630000000000001</v>
      </c>
      <c r="G10" s="85" t="s">
        <v>17</v>
      </c>
      <c r="H10" s="85" t="s">
        <v>18</v>
      </c>
      <c r="I10" s="87"/>
      <c r="J10" s="85"/>
      <c r="K10" s="85"/>
      <c r="L10" s="85"/>
      <c r="M10" s="77">
        <v>384</v>
      </c>
      <c r="N10" s="77">
        <v>6.7</v>
      </c>
      <c r="O10" s="77" t="s">
        <v>93</v>
      </c>
      <c r="P10" s="77" t="s">
        <v>94</v>
      </c>
      <c r="Q10" s="77" t="s">
        <v>95</v>
      </c>
    </row>
    <row r="11" spans="1:17" ht="30" customHeight="1" x14ac:dyDescent="0.2">
      <c r="A11" s="78"/>
      <c r="B11" s="78"/>
      <c r="C11" s="78"/>
      <c r="D11" s="81">
        <f>ROUND(SUM(D10:D10),2)</f>
        <v>570</v>
      </c>
      <c r="E11" s="82">
        <v>50</v>
      </c>
      <c r="F11" s="82">
        <f>IF(G11&gt;1,ROUND(SUM(F10:F10)/G11*2,3),ROUND(SUM(F10:F10),3))</f>
        <v>7.4630000000000001</v>
      </c>
      <c r="G11" s="77">
        <v>1</v>
      </c>
      <c r="H11" s="78"/>
      <c r="I11" s="88">
        <f>ROUND(20-F11,3)</f>
        <v>12.537000000000001</v>
      </c>
      <c r="J11" s="78"/>
      <c r="K11" s="78"/>
      <c r="L11" s="78"/>
      <c r="M11" s="77">
        <f>AVERAGE(M10:M10)</f>
        <v>384</v>
      </c>
      <c r="N11" s="78"/>
      <c r="O11" s="78"/>
      <c r="P11" s="78"/>
      <c r="Q11" s="78"/>
    </row>
    <row r="12" spans="1:17" ht="30" customHeight="1" x14ac:dyDescent="0.15">
      <c r="A12" s="93" t="s">
        <v>23</v>
      </c>
      <c r="B12" s="85" t="s">
        <v>100</v>
      </c>
      <c r="C12" s="85">
        <v>6</v>
      </c>
      <c r="D12" s="86">
        <v>573</v>
      </c>
      <c r="E12" s="87">
        <v>31.04</v>
      </c>
      <c r="F12" s="87">
        <f>ROUND(E12/C12*G14,3)</f>
        <v>5.173</v>
      </c>
      <c r="G12" s="85" t="s">
        <v>17</v>
      </c>
      <c r="H12" s="85" t="s">
        <v>18</v>
      </c>
      <c r="I12" s="87"/>
      <c r="J12" s="85"/>
      <c r="K12" s="85"/>
      <c r="L12" s="85"/>
      <c r="M12" s="77">
        <v>408</v>
      </c>
      <c r="N12" s="77">
        <v>6</v>
      </c>
      <c r="O12" s="77" t="s">
        <v>93</v>
      </c>
      <c r="P12" s="77" t="s">
        <v>94</v>
      </c>
      <c r="Q12" s="77" t="s">
        <v>95</v>
      </c>
    </row>
    <row r="13" spans="1:17" ht="30" customHeight="1" x14ac:dyDescent="0.15">
      <c r="A13" s="94"/>
      <c r="B13" s="85" t="s">
        <v>101</v>
      </c>
      <c r="C13" s="85">
        <v>5.94</v>
      </c>
      <c r="D13" s="86">
        <v>350</v>
      </c>
      <c r="E13" s="87">
        <v>18.96</v>
      </c>
      <c r="F13" s="87">
        <f>ROUND(E13/C13*G14,3)</f>
        <v>3.1920000000000002</v>
      </c>
      <c r="G13" s="85" t="s">
        <v>17</v>
      </c>
      <c r="H13" s="85" t="s">
        <v>18</v>
      </c>
      <c r="I13" s="87"/>
      <c r="J13" s="85"/>
      <c r="K13" s="85"/>
      <c r="L13" s="85"/>
      <c r="M13" s="77">
        <v>416</v>
      </c>
      <c r="N13" s="77">
        <v>5.94</v>
      </c>
      <c r="O13" s="77" t="s">
        <v>93</v>
      </c>
      <c r="P13" s="77" t="s">
        <v>94</v>
      </c>
      <c r="Q13" s="77" t="s">
        <v>95</v>
      </c>
    </row>
    <row r="14" spans="1:17" ht="30" customHeight="1" x14ac:dyDescent="0.2">
      <c r="A14" s="78"/>
      <c r="B14" s="78"/>
      <c r="C14" s="78"/>
      <c r="D14" s="81">
        <f>ROUND(SUM(D12:D13),2)</f>
        <v>923</v>
      </c>
      <c r="E14" s="82">
        <v>50</v>
      </c>
      <c r="F14" s="82">
        <f>IF(G14&gt;1,ROUND(SUM(F12:F13)/G14*2,3),ROUND(SUM(F12:F13),3))</f>
        <v>8.3650000000000002</v>
      </c>
      <c r="G14" s="77">
        <v>1</v>
      </c>
      <c r="H14" s="78"/>
      <c r="I14" s="88">
        <f>ROUND(20-F14,3)</f>
        <v>11.635</v>
      </c>
      <c r="J14" s="78"/>
      <c r="K14" s="78"/>
      <c r="L14" s="78"/>
      <c r="M14" s="77">
        <f>AVERAGE(M12:M13)</f>
        <v>412</v>
      </c>
      <c r="N14" s="78"/>
      <c r="O14" s="78"/>
      <c r="P14" s="78"/>
      <c r="Q14" s="78"/>
    </row>
    <row r="39" ht="23.25" customHeight="1" x14ac:dyDescent="0.15"/>
    <row r="40" ht="23.25" customHeight="1" x14ac:dyDescent="0.15"/>
    <row r="41" ht="23.25" customHeight="1" x14ac:dyDescent="0.15"/>
    <row r="42" ht="23.25" customHeight="1" x14ac:dyDescent="0.15"/>
    <row r="43" ht="23.25" customHeight="1" x14ac:dyDescent="0.15"/>
    <row r="44" ht="23.25" customHeight="1" x14ac:dyDescent="0.15"/>
  </sheetData>
  <mergeCells count="1">
    <mergeCell ref="A12:A13"/>
  </mergeCells>
  <phoneticPr fontId="16" type="noConversion"/>
  <conditionalFormatting sqref="A1">
    <cfRule type="duplicateValues" dxfId="114" priority="8"/>
  </conditionalFormatting>
  <conditionalFormatting sqref="B1">
    <cfRule type="duplicateValues" dxfId="113" priority="7"/>
    <cfRule type="duplicateValues" dxfId="112" priority="9"/>
  </conditionalFormatting>
  <conditionalFormatting sqref="B2:B1048576">
    <cfRule type="duplicateValues" dxfId="111" priority="10"/>
  </conditionalFormatting>
  <pageMargins left="0.75" right="0.75" top="1" bottom="1" header="0.5" footer="0.5"/>
  <pageSetup paperSize="9" scale="17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79"/>
  <sheetViews>
    <sheetView topLeftCell="A116" zoomScaleNormal="100" workbookViewId="0">
      <selection activeCell="D9" sqref="D9"/>
    </sheetView>
  </sheetViews>
  <sheetFormatPr defaultColWidth="8.75" defaultRowHeight="30" customHeight="1" x14ac:dyDescent="0.15"/>
  <cols>
    <col min="1" max="1" width="12" style="27" customWidth="1"/>
    <col min="2" max="2" width="21" style="27" customWidth="1"/>
    <col min="3" max="3" width="22" style="29" customWidth="1"/>
    <col min="4" max="4" width="28" style="29" customWidth="1"/>
    <col min="5" max="5" width="22" style="30" customWidth="1"/>
    <col min="6" max="6" width="60" style="31" customWidth="1"/>
    <col min="7" max="7" width="27" style="27" customWidth="1"/>
    <col min="8" max="8" width="34" style="27" customWidth="1"/>
    <col min="9" max="9" width="27" style="29" customWidth="1"/>
    <col min="10" max="10" width="8" style="32" customWidth="1"/>
    <col min="11" max="11" width="25" style="32" customWidth="1"/>
    <col min="12" max="12" width="43" style="32" customWidth="1"/>
    <col min="13" max="13" width="23" style="27" customWidth="1"/>
    <col min="14" max="14" width="22" style="27" customWidth="1"/>
    <col min="15" max="15" width="23" style="27" customWidth="1"/>
    <col min="16" max="16" width="12" style="27" customWidth="1"/>
    <col min="17" max="17" width="10" style="27" customWidth="1"/>
    <col min="18" max="18" width="17.25" style="27" customWidth="1"/>
    <col min="19" max="21" width="8.75" style="27" customWidth="1"/>
    <col min="22" max="22" width="9.125" style="27" customWidth="1"/>
    <col min="23" max="29" width="8.75" style="27" customWidth="1"/>
    <col min="30" max="16384" width="8.75" style="27"/>
  </cols>
  <sheetData>
    <row r="1" spans="1:17" s="26" customFormat="1" ht="90" customHeight="1" x14ac:dyDescent="0.15">
      <c r="A1" s="61" t="s">
        <v>79</v>
      </c>
      <c r="B1" s="33" t="s">
        <v>80</v>
      </c>
      <c r="C1" s="42" t="s">
        <v>81</v>
      </c>
      <c r="D1" s="42" t="s">
        <v>6</v>
      </c>
      <c r="E1" s="43" t="s">
        <v>82</v>
      </c>
      <c r="F1" s="44" t="s">
        <v>83</v>
      </c>
      <c r="G1" s="33" t="s">
        <v>11</v>
      </c>
      <c r="H1" s="45" t="s">
        <v>12</v>
      </c>
      <c r="I1" s="62" t="s">
        <v>84</v>
      </c>
      <c r="J1" s="46" t="s">
        <v>85</v>
      </c>
      <c r="K1" s="46" t="s">
        <v>86</v>
      </c>
      <c r="L1" s="46" t="s">
        <v>87</v>
      </c>
      <c r="M1" s="63" t="s">
        <v>88</v>
      </c>
      <c r="N1" s="63" t="s">
        <v>81</v>
      </c>
      <c r="O1" s="63" t="s">
        <v>89</v>
      </c>
      <c r="P1" s="63" t="s">
        <v>90</v>
      </c>
      <c r="Q1" s="63" t="s">
        <v>91</v>
      </c>
    </row>
    <row r="2" spans="1:17" ht="30" customHeight="1" x14ac:dyDescent="0.15">
      <c r="A2" s="93" t="s">
        <v>25</v>
      </c>
      <c r="B2" s="85" t="s">
        <v>102</v>
      </c>
      <c r="C2" s="85">
        <v>61.91</v>
      </c>
      <c r="D2" s="86">
        <v>1.59</v>
      </c>
      <c r="E2" s="87">
        <v>7.0919999999999996</v>
      </c>
      <c r="F2" s="87">
        <f>ROUND(E2/C2*G5,3)</f>
        <v>0.57299999999999995</v>
      </c>
      <c r="G2" s="85" t="s">
        <v>26</v>
      </c>
      <c r="H2" s="85" t="s">
        <v>27</v>
      </c>
      <c r="I2" s="87"/>
      <c r="J2" s="85"/>
      <c r="K2" s="85"/>
      <c r="L2" s="85" t="s">
        <v>103</v>
      </c>
      <c r="M2" s="77"/>
      <c r="N2" s="77">
        <v>61.91</v>
      </c>
      <c r="O2" s="77" t="s">
        <v>93</v>
      </c>
      <c r="P2" s="77" t="s">
        <v>94</v>
      </c>
      <c r="Q2" s="77" t="s">
        <v>95</v>
      </c>
    </row>
    <row r="3" spans="1:17" ht="30" customHeight="1" x14ac:dyDescent="0.15">
      <c r="A3" s="95"/>
      <c r="B3" s="85" t="s">
        <v>104</v>
      </c>
      <c r="C3" s="85">
        <v>38.85</v>
      </c>
      <c r="D3" s="86">
        <v>4.63</v>
      </c>
      <c r="E3" s="87">
        <v>20.651</v>
      </c>
      <c r="F3" s="87">
        <f>ROUND(E3/C3*G5,3)</f>
        <v>2.6579999999999999</v>
      </c>
      <c r="G3" s="85" t="s">
        <v>26</v>
      </c>
      <c r="H3" s="85" t="s">
        <v>27</v>
      </c>
      <c r="I3" s="87"/>
      <c r="J3" s="85"/>
      <c r="K3" s="85"/>
      <c r="L3" s="85" t="s">
        <v>103</v>
      </c>
      <c r="M3" s="77"/>
      <c r="N3" s="77">
        <v>38.85</v>
      </c>
      <c r="O3" s="77" t="s">
        <v>93</v>
      </c>
      <c r="P3" s="77" t="s">
        <v>94</v>
      </c>
      <c r="Q3" s="77" t="s">
        <v>95</v>
      </c>
    </row>
    <row r="4" spans="1:17" ht="30" customHeight="1" x14ac:dyDescent="0.15">
      <c r="A4" s="94"/>
      <c r="B4" s="85" t="s">
        <v>105</v>
      </c>
      <c r="C4" s="85">
        <v>83.35</v>
      </c>
      <c r="D4" s="86">
        <v>4.99</v>
      </c>
      <c r="E4" s="87">
        <v>22.257000000000001</v>
      </c>
      <c r="F4" s="87">
        <f>ROUND(E4/C4*G5,3)</f>
        <v>1.335</v>
      </c>
      <c r="G4" s="85" t="s">
        <v>26</v>
      </c>
      <c r="H4" s="85" t="s">
        <v>27</v>
      </c>
      <c r="I4" s="87"/>
      <c r="J4" s="85"/>
      <c r="K4" s="85"/>
      <c r="L4" s="85" t="s">
        <v>103</v>
      </c>
      <c r="M4" s="77"/>
      <c r="N4" s="77">
        <v>83.35</v>
      </c>
      <c r="O4" s="77" t="s">
        <v>93</v>
      </c>
      <c r="P4" s="77" t="s">
        <v>94</v>
      </c>
      <c r="Q4" s="77" t="s">
        <v>95</v>
      </c>
    </row>
    <row r="5" spans="1:17" ht="30" customHeight="1" x14ac:dyDescent="0.2">
      <c r="A5" s="78"/>
      <c r="B5" s="78"/>
      <c r="C5" s="78"/>
      <c r="D5" s="81">
        <f>ROUND(SUM(D2:D4),2)</f>
        <v>11.21</v>
      </c>
      <c r="E5" s="82">
        <v>50</v>
      </c>
      <c r="F5" s="82">
        <f>IF(G5&gt;1,ROUND(SUM(F2:F4)/G5*2,3),ROUND(SUM(F2:F4),3))</f>
        <v>1.8260000000000001</v>
      </c>
      <c r="G5" s="77">
        <v>5</v>
      </c>
      <c r="H5" s="78"/>
      <c r="I5" s="88">
        <f>ROUND(20-F5,3)</f>
        <v>18.173999999999999</v>
      </c>
      <c r="J5" s="78"/>
      <c r="K5" s="78"/>
      <c r="L5" s="78"/>
      <c r="M5" s="77" t="e">
        <f>AVERAGE(M2:M4)</f>
        <v>#DIV/0!</v>
      </c>
      <c r="N5" s="78"/>
      <c r="O5" s="78"/>
      <c r="P5" s="78"/>
      <c r="Q5" s="78"/>
    </row>
    <row r="6" spans="1:17" ht="30" customHeight="1" x14ac:dyDescent="0.15">
      <c r="A6" s="85" t="s">
        <v>28</v>
      </c>
      <c r="B6" s="85" t="s">
        <v>106</v>
      </c>
      <c r="C6" s="85">
        <v>40</v>
      </c>
      <c r="D6" s="86">
        <v>0.1</v>
      </c>
      <c r="E6" s="87">
        <v>50</v>
      </c>
      <c r="F6" s="87">
        <f>ROUND(E6/C6*G7,3)</f>
        <v>1.25</v>
      </c>
      <c r="G6" s="85" t="s">
        <v>29</v>
      </c>
      <c r="H6" s="85" t="s">
        <v>27</v>
      </c>
      <c r="I6" s="87"/>
      <c r="J6" s="85"/>
      <c r="K6" s="85" t="s">
        <v>107</v>
      </c>
      <c r="L6" s="85" t="s">
        <v>103</v>
      </c>
      <c r="M6" s="77"/>
      <c r="N6" s="77">
        <v>40</v>
      </c>
      <c r="O6" s="77"/>
      <c r="P6" s="77"/>
      <c r="Q6" s="77"/>
    </row>
    <row r="7" spans="1:17" ht="30" customHeight="1" x14ac:dyDescent="0.2">
      <c r="A7" s="78"/>
      <c r="B7" s="78"/>
      <c r="C7" s="78"/>
      <c r="D7" s="81">
        <f>ROUND(SUM(D6:D6),2)</f>
        <v>0.1</v>
      </c>
      <c r="E7" s="82">
        <v>50</v>
      </c>
      <c r="F7" s="82">
        <f>IF(G7&gt;1,ROUND(SUM(F6:F6)/G7*2,3),ROUND(SUM(F6:F6),3))</f>
        <v>1.25</v>
      </c>
      <c r="G7" s="77">
        <v>1</v>
      </c>
      <c r="H7" s="78"/>
      <c r="I7" s="88">
        <f>ROUND(20-F7,3)</f>
        <v>18.75</v>
      </c>
      <c r="J7" s="78"/>
      <c r="K7" s="78"/>
      <c r="L7" s="78"/>
      <c r="M7" s="77" t="e">
        <f>AVERAGE(M6:M6)</f>
        <v>#DIV/0!</v>
      </c>
      <c r="N7" s="78"/>
      <c r="O7" s="78"/>
      <c r="P7" s="78"/>
      <c r="Q7" s="78"/>
    </row>
    <row r="8" spans="1:17" ht="30" customHeight="1" x14ac:dyDescent="0.15">
      <c r="A8" s="93" t="s">
        <v>30</v>
      </c>
      <c r="B8" s="85" t="s">
        <v>108</v>
      </c>
      <c r="C8" s="85">
        <v>59.29</v>
      </c>
      <c r="D8" s="86">
        <v>0.1</v>
      </c>
      <c r="E8" s="87">
        <v>13.513999999999999</v>
      </c>
      <c r="F8" s="87">
        <f>ROUND(E8/C8*G15,3)</f>
        <v>5.0140000000000002</v>
      </c>
      <c r="G8" s="85" t="s">
        <v>31</v>
      </c>
      <c r="H8" s="85" t="s">
        <v>27</v>
      </c>
      <c r="I8" s="87"/>
      <c r="J8" s="85"/>
      <c r="K8" s="85" t="s">
        <v>109</v>
      </c>
      <c r="L8" s="85" t="s">
        <v>103</v>
      </c>
      <c r="M8" s="77"/>
      <c r="N8" s="77">
        <v>59.29</v>
      </c>
      <c r="O8" s="77"/>
      <c r="P8" s="77"/>
      <c r="Q8" s="77"/>
    </row>
    <row r="9" spans="1:17" ht="30" customHeight="1" x14ac:dyDescent="0.15">
      <c r="A9" s="95"/>
      <c r="B9" s="85" t="s">
        <v>110</v>
      </c>
      <c r="C9" s="85">
        <v>39.630000000000003</v>
      </c>
      <c r="D9" s="86">
        <v>0.05</v>
      </c>
      <c r="E9" s="87">
        <v>6.7569999999999997</v>
      </c>
      <c r="F9" s="87">
        <f>ROUND(E9/C9*G15,3)</f>
        <v>3.7509999999999999</v>
      </c>
      <c r="G9" s="85" t="s">
        <v>31</v>
      </c>
      <c r="H9" s="85" t="s">
        <v>27</v>
      </c>
      <c r="I9" s="87"/>
      <c r="J9" s="85"/>
      <c r="K9" s="85" t="s">
        <v>111</v>
      </c>
      <c r="L9" s="85" t="s">
        <v>103</v>
      </c>
      <c r="M9" s="77"/>
      <c r="N9" s="77">
        <v>39.630000000000003</v>
      </c>
      <c r="O9" s="77"/>
      <c r="P9" s="77"/>
      <c r="Q9" s="77"/>
    </row>
    <row r="10" spans="1:17" ht="30" customHeight="1" x14ac:dyDescent="0.15">
      <c r="A10" s="95"/>
      <c r="B10" s="85" t="s">
        <v>112</v>
      </c>
      <c r="C10" s="85">
        <v>54.03</v>
      </c>
      <c r="D10" s="86">
        <v>0.04</v>
      </c>
      <c r="E10" s="87">
        <v>5.4050000000000002</v>
      </c>
      <c r="F10" s="87">
        <f>ROUND(E10/C10*G15,3)</f>
        <v>2.2010000000000001</v>
      </c>
      <c r="G10" s="85" t="s">
        <v>31</v>
      </c>
      <c r="H10" s="85" t="s">
        <v>27</v>
      </c>
      <c r="I10" s="87"/>
      <c r="J10" s="85"/>
      <c r="K10" s="85" t="s">
        <v>113</v>
      </c>
      <c r="L10" s="85" t="s">
        <v>103</v>
      </c>
      <c r="M10" s="77"/>
      <c r="N10" s="77">
        <v>54.03</v>
      </c>
      <c r="O10" s="77"/>
      <c r="P10" s="77"/>
      <c r="Q10" s="77"/>
    </row>
    <row r="11" spans="1:17" ht="30" customHeight="1" x14ac:dyDescent="0.15">
      <c r="A11" s="95"/>
      <c r="B11" s="85" t="s">
        <v>114</v>
      </c>
      <c r="C11" s="85">
        <v>28.77</v>
      </c>
      <c r="D11" s="86">
        <v>0.01</v>
      </c>
      <c r="E11" s="87">
        <v>1.351</v>
      </c>
      <c r="F11" s="87">
        <f>ROUND(E11/C11*G15,3)</f>
        <v>1.0329999999999999</v>
      </c>
      <c r="G11" s="85" t="s">
        <v>31</v>
      </c>
      <c r="H11" s="85" t="s">
        <v>27</v>
      </c>
      <c r="I11" s="87"/>
      <c r="J11" s="85"/>
      <c r="K11" s="85" t="s">
        <v>115</v>
      </c>
      <c r="L11" s="85" t="s">
        <v>103</v>
      </c>
      <c r="M11" s="77"/>
      <c r="N11" s="77">
        <v>28.77</v>
      </c>
      <c r="O11" s="77"/>
      <c r="P11" s="77"/>
      <c r="Q11" s="77"/>
    </row>
    <row r="12" spans="1:17" ht="30" customHeight="1" x14ac:dyDescent="0.15">
      <c r="A12" s="95"/>
      <c r="B12" s="85" t="s">
        <v>116</v>
      </c>
      <c r="C12" s="85">
        <v>55.46</v>
      </c>
      <c r="D12" s="86">
        <v>0.03</v>
      </c>
      <c r="E12" s="87">
        <v>4.0540000000000003</v>
      </c>
      <c r="F12" s="87">
        <f>ROUND(E12/C12*G15,3)</f>
        <v>1.6080000000000001</v>
      </c>
      <c r="G12" s="85" t="s">
        <v>31</v>
      </c>
      <c r="H12" s="85" t="s">
        <v>27</v>
      </c>
      <c r="I12" s="87"/>
      <c r="J12" s="85"/>
      <c r="K12" s="85" t="s">
        <v>117</v>
      </c>
      <c r="L12" s="85" t="s">
        <v>103</v>
      </c>
      <c r="M12" s="77"/>
      <c r="N12" s="77">
        <v>55.46</v>
      </c>
      <c r="O12" s="77"/>
      <c r="P12" s="77"/>
      <c r="Q12" s="77"/>
    </row>
    <row r="13" spans="1:17" ht="30" customHeight="1" x14ac:dyDescent="0.15">
      <c r="A13" s="95"/>
      <c r="B13" s="85" t="s">
        <v>118</v>
      </c>
      <c r="C13" s="85">
        <v>31.78</v>
      </c>
      <c r="D13" s="86">
        <v>0.04</v>
      </c>
      <c r="E13" s="87">
        <v>5.4050000000000002</v>
      </c>
      <c r="F13" s="87">
        <f>ROUND(E13/C13*G15,3)</f>
        <v>3.742</v>
      </c>
      <c r="G13" s="85" t="s">
        <v>31</v>
      </c>
      <c r="H13" s="85" t="s">
        <v>27</v>
      </c>
      <c r="I13" s="87"/>
      <c r="J13" s="85"/>
      <c r="K13" s="85" t="s">
        <v>119</v>
      </c>
      <c r="L13" s="85" t="s">
        <v>103</v>
      </c>
      <c r="M13" s="77"/>
      <c r="N13" s="77">
        <v>31.78</v>
      </c>
      <c r="O13" s="77"/>
      <c r="P13" s="77"/>
      <c r="Q13" s="77"/>
    </row>
    <row r="14" spans="1:17" ht="30" customHeight="1" x14ac:dyDescent="0.15">
      <c r="A14" s="94"/>
      <c r="B14" s="85" t="s">
        <v>120</v>
      </c>
      <c r="C14" s="85">
        <v>80.81</v>
      </c>
      <c r="D14" s="86">
        <v>0.1</v>
      </c>
      <c r="E14" s="87">
        <v>13.513999999999999</v>
      </c>
      <c r="F14" s="87">
        <f>ROUND(E14/C14*G15,3)</f>
        <v>3.6789999999999998</v>
      </c>
      <c r="G14" s="85" t="s">
        <v>31</v>
      </c>
      <c r="H14" s="85" t="s">
        <v>27</v>
      </c>
      <c r="I14" s="87"/>
      <c r="J14" s="85"/>
      <c r="K14" s="89" t="s">
        <v>121</v>
      </c>
      <c r="L14" s="85" t="s">
        <v>103</v>
      </c>
      <c r="M14" s="77"/>
      <c r="N14" s="77">
        <v>80.81</v>
      </c>
      <c r="O14" s="77"/>
      <c r="P14" s="77"/>
      <c r="Q14" s="77"/>
    </row>
    <row r="15" spans="1:17" ht="30" customHeight="1" x14ac:dyDescent="0.2">
      <c r="A15" s="78"/>
      <c r="B15" s="78"/>
      <c r="C15" s="78"/>
      <c r="D15" s="81">
        <f>ROUND(SUM(D8:D14),2)</f>
        <v>0.37</v>
      </c>
      <c r="E15" s="82">
        <v>50</v>
      </c>
      <c r="F15" s="82">
        <f>IF(G15&gt;1,ROUND(SUM(F8:F14)/G15*2,3),ROUND(SUM(F8:F14),3))</f>
        <v>1.9119999999999999</v>
      </c>
      <c r="G15" s="77">
        <v>22</v>
      </c>
      <c r="H15" s="78"/>
      <c r="I15" s="88">
        <f>ROUND(20-F15,3)</f>
        <v>18.088000000000001</v>
      </c>
      <c r="J15" s="78"/>
      <c r="K15" s="78"/>
      <c r="L15" s="78"/>
      <c r="M15" s="77" t="e">
        <f>AVERAGE(M8:M14)</f>
        <v>#DIV/0!</v>
      </c>
      <c r="N15" s="78"/>
      <c r="O15" s="78"/>
      <c r="P15" s="78"/>
      <c r="Q15" s="78"/>
    </row>
    <row r="16" spans="1:17" ht="30" customHeight="1" x14ac:dyDescent="0.15">
      <c r="A16" s="93" t="s">
        <v>32</v>
      </c>
      <c r="B16" s="85" t="s">
        <v>122</v>
      </c>
      <c r="C16" s="85">
        <v>52.43</v>
      </c>
      <c r="D16" s="86">
        <v>0.15</v>
      </c>
      <c r="E16" s="87">
        <v>10.273999999999999</v>
      </c>
      <c r="F16" s="87">
        <f>ROUND(E16/C16*G21,3)</f>
        <v>1.5680000000000001</v>
      </c>
      <c r="G16" s="85" t="s">
        <v>31</v>
      </c>
      <c r="H16" s="85" t="s">
        <v>27</v>
      </c>
      <c r="I16" s="87"/>
      <c r="J16" s="85"/>
      <c r="K16" s="85" t="s">
        <v>123</v>
      </c>
      <c r="L16" s="85" t="s">
        <v>103</v>
      </c>
      <c r="M16" s="77"/>
      <c r="N16" s="77">
        <v>52.43</v>
      </c>
      <c r="O16" s="77"/>
      <c r="P16" s="77"/>
      <c r="Q16" s="77"/>
    </row>
    <row r="17" spans="1:17" ht="30" customHeight="1" x14ac:dyDescent="0.15">
      <c r="A17" s="95"/>
      <c r="B17" s="85" t="s">
        <v>124</v>
      </c>
      <c r="C17" s="85">
        <v>42.85</v>
      </c>
      <c r="D17" s="86">
        <v>0.08</v>
      </c>
      <c r="E17" s="87">
        <v>5.4790000000000001</v>
      </c>
      <c r="F17" s="87">
        <f>ROUND(E17/C17*G21,3)</f>
        <v>1.0229999999999999</v>
      </c>
      <c r="G17" s="85" t="s">
        <v>31</v>
      </c>
      <c r="H17" s="85" t="s">
        <v>27</v>
      </c>
      <c r="I17" s="87"/>
      <c r="J17" s="85"/>
      <c r="K17" s="85" t="s">
        <v>125</v>
      </c>
      <c r="L17" s="85" t="s">
        <v>103</v>
      </c>
      <c r="M17" s="77"/>
      <c r="N17" s="77">
        <v>42.85</v>
      </c>
      <c r="O17" s="77"/>
      <c r="P17" s="77"/>
      <c r="Q17" s="77"/>
    </row>
    <row r="18" spans="1:17" ht="30" customHeight="1" x14ac:dyDescent="0.15">
      <c r="A18" s="95"/>
      <c r="B18" s="85" t="s">
        <v>126</v>
      </c>
      <c r="C18" s="85">
        <v>46.39</v>
      </c>
      <c r="D18" s="86">
        <v>0.17</v>
      </c>
      <c r="E18" s="87">
        <v>11.644</v>
      </c>
      <c r="F18" s="87">
        <f>ROUND(E18/C18*G21,3)</f>
        <v>2.008</v>
      </c>
      <c r="G18" s="85" t="s">
        <v>31</v>
      </c>
      <c r="H18" s="85" t="s">
        <v>27</v>
      </c>
      <c r="I18" s="87"/>
      <c r="J18" s="85"/>
      <c r="K18" s="85" t="s">
        <v>127</v>
      </c>
      <c r="L18" s="85" t="s">
        <v>103</v>
      </c>
      <c r="M18" s="77"/>
      <c r="N18" s="77">
        <v>46.39</v>
      </c>
      <c r="O18" s="77"/>
      <c r="P18" s="77"/>
      <c r="Q18" s="77"/>
    </row>
    <row r="19" spans="1:17" ht="30" customHeight="1" x14ac:dyDescent="0.15">
      <c r="A19" s="95"/>
      <c r="B19" s="85" t="s">
        <v>128</v>
      </c>
      <c r="C19" s="85">
        <v>27.82</v>
      </c>
      <c r="D19" s="86">
        <v>0.2</v>
      </c>
      <c r="E19" s="87">
        <v>13.699</v>
      </c>
      <c r="F19" s="87">
        <f>ROUND(E19/C19*G21,3)</f>
        <v>3.9390000000000001</v>
      </c>
      <c r="G19" s="85" t="s">
        <v>31</v>
      </c>
      <c r="H19" s="85" t="s">
        <v>27</v>
      </c>
      <c r="I19" s="87"/>
      <c r="J19" s="85"/>
      <c r="K19" s="85" t="s">
        <v>129</v>
      </c>
      <c r="L19" s="85" t="s">
        <v>103</v>
      </c>
      <c r="M19" s="77"/>
      <c r="N19" s="77">
        <v>27.82</v>
      </c>
      <c r="O19" s="77"/>
      <c r="P19" s="77"/>
      <c r="Q19" s="77"/>
    </row>
    <row r="20" spans="1:17" ht="30" customHeight="1" x14ac:dyDescent="0.15">
      <c r="A20" s="94"/>
      <c r="B20" s="85" t="s">
        <v>130</v>
      </c>
      <c r="C20" s="85">
        <v>66.930000000000007</v>
      </c>
      <c r="D20" s="86">
        <v>0.13</v>
      </c>
      <c r="E20" s="87">
        <v>8.9039999999999999</v>
      </c>
      <c r="F20" s="87">
        <f>ROUND(E20/C20*G21,3)</f>
        <v>1.0640000000000001</v>
      </c>
      <c r="G20" s="85" t="s">
        <v>31</v>
      </c>
      <c r="H20" s="85" t="s">
        <v>27</v>
      </c>
      <c r="I20" s="87"/>
      <c r="J20" s="85"/>
      <c r="K20" s="89" t="s">
        <v>131</v>
      </c>
      <c r="L20" s="85" t="s">
        <v>103</v>
      </c>
      <c r="M20" s="77"/>
      <c r="N20" s="77">
        <v>66.930000000000007</v>
      </c>
      <c r="O20" s="77"/>
      <c r="P20" s="77"/>
      <c r="Q20" s="77"/>
    </row>
    <row r="21" spans="1:17" ht="30" customHeight="1" x14ac:dyDescent="0.2">
      <c r="A21" s="78"/>
      <c r="B21" s="78"/>
      <c r="C21" s="78"/>
      <c r="D21" s="81">
        <f>ROUND(SUM(D16:D20),2)</f>
        <v>0.73</v>
      </c>
      <c r="E21" s="82">
        <v>50</v>
      </c>
      <c r="F21" s="82">
        <f>IF(G21&gt;1,ROUND(SUM(F16:F20)/G21*2,3),ROUND(SUM(F16:F20),3))</f>
        <v>2.4009999999999998</v>
      </c>
      <c r="G21" s="77">
        <v>8</v>
      </c>
      <c r="H21" s="78"/>
      <c r="I21" s="88">
        <f>ROUND(20-F21,3)</f>
        <v>17.599</v>
      </c>
      <c r="J21" s="78"/>
      <c r="K21" s="78"/>
      <c r="L21" s="78"/>
      <c r="M21" s="77" t="e">
        <f>AVERAGE(M16:M20)</f>
        <v>#DIV/0!</v>
      </c>
      <c r="N21" s="78"/>
      <c r="O21" s="78"/>
      <c r="P21" s="78"/>
      <c r="Q21" s="78"/>
    </row>
    <row r="22" spans="1:17" ht="30" customHeight="1" x14ac:dyDescent="0.15">
      <c r="A22" s="93" t="s">
        <v>33</v>
      </c>
      <c r="B22" s="85" t="s">
        <v>132</v>
      </c>
      <c r="C22" s="85">
        <v>27.4</v>
      </c>
      <c r="D22" s="86">
        <v>100</v>
      </c>
      <c r="E22" s="87">
        <v>6.944</v>
      </c>
      <c r="F22" s="87">
        <f>ROUND(E22/C22*G30,3)</f>
        <v>0.76</v>
      </c>
      <c r="G22" s="85" t="s">
        <v>34</v>
      </c>
      <c r="H22" s="85" t="s">
        <v>35</v>
      </c>
      <c r="I22" s="87"/>
      <c r="J22" s="85"/>
      <c r="K22" s="85"/>
      <c r="L22" s="85" t="s">
        <v>133</v>
      </c>
      <c r="M22" s="77"/>
      <c r="N22" s="77">
        <v>27.4</v>
      </c>
      <c r="O22" s="77"/>
      <c r="P22" s="77" t="s">
        <v>94</v>
      </c>
      <c r="Q22" s="77" t="s">
        <v>95</v>
      </c>
    </row>
    <row r="23" spans="1:17" ht="30" customHeight="1" x14ac:dyDescent="0.15">
      <c r="A23" s="95"/>
      <c r="B23" s="85" t="s">
        <v>134</v>
      </c>
      <c r="C23" s="85">
        <v>22</v>
      </c>
      <c r="D23" s="86">
        <v>100</v>
      </c>
      <c r="E23" s="87">
        <v>6.944</v>
      </c>
      <c r="F23" s="87">
        <f>ROUND(E23/C23*G30,3)</f>
        <v>0.94699999999999995</v>
      </c>
      <c r="G23" s="85" t="s">
        <v>34</v>
      </c>
      <c r="H23" s="85" t="s">
        <v>35</v>
      </c>
      <c r="I23" s="87"/>
      <c r="J23" s="85"/>
      <c r="K23" s="85"/>
      <c r="L23" s="85" t="s">
        <v>133</v>
      </c>
      <c r="M23" s="77"/>
      <c r="N23" s="77">
        <v>22</v>
      </c>
      <c r="O23" s="77"/>
      <c r="P23" s="77" t="s">
        <v>94</v>
      </c>
      <c r="Q23" s="77" t="s">
        <v>95</v>
      </c>
    </row>
    <row r="24" spans="1:17" ht="30" customHeight="1" x14ac:dyDescent="0.15">
      <c r="A24" s="95"/>
      <c r="B24" s="85" t="s">
        <v>135</v>
      </c>
      <c r="C24" s="85">
        <v>24.6</v>
      </c>
      <c r="D24" s="86">
        <v>100</v>
      </c>
      <c r="E24" s="87">
        <v>6.944</v>
      </c>
      <c r="F24" s="87">
        <f>ROUND(E24/C24*G30,3)</f>
        <v>0.84699999999999998</v>
      </c>
      <c r="G24" s="85" t="s">
        <v>34</v>
      </c>
      <c r="H24" s="85" t="s">
        <v>35</v>
      </c>
      <c r="I24" s="87"/>
      <c r="J24" s="85"/>
      <c r="K24" s="85"/>
      <c r="L24" s="85" t="s">
        <v>133</v>
      </c>
      <c r="M24" s="77"/>
      <c r="N24" s="77">
        <v>24.6</v>
      </c>
      <c r="O24" s="77"/>
      <c r="P24" s="77" t="s">
        <v>94</v>
      </c>
      <c r="Q24" s="77" t="s">
        <v>95</v>
      </c>
    </row>
    <row r="25" spans="1:17" ht="30" customHeight="1" x14ac:dyDescent="0.15">
      <c r="A25" s="95"/>
      <c r="B25" s="85" t="s">
        <v>136</v>
      </c>
      <c r="C25" s="85">
        <v>21.6</v>
      </c>
      <c r="D25" s="86">
        <v>100</v>
      </c>
      <c r="E25" s="87">
        <v>6.944</v>
      </c>
      <c r="F25" s="87">
        <f>ROUND(E25/C25*G30,3)</f>
        <v>0.96399999999999997</v>
      </c>
      <c r="G25" s="85" t="s">
        <v>34</v>
      </c>
      <c r="H25" s="85" t="s">
        <v>35</v>
      </c>
      <c r="I25" s="87"/>
      <c r="J25" s="85"/>
      <c r="K25" s="85"/>
      <c r="L25" s="85" t="s">
        <v>133</v>
      </c>
      <c r="M25" s="77"/>
      <c r="N25" s="77">
        <v>21.6</v>
      </c>
      <c r="O25" s="77"/>
      <c r="P25" s="77" t="s">
        <v>94</v>
      </c>
      <c r="Q25" s="77" t="s">
        <v>95</v>
      </c>
    </row>
    <row r="26" spans="1:17" ht="30" customHeight="1" x14ac:dyDescent="0.15">
      <c r="A26" s="95"/>
      <c r="B26" s="85" t="s">
        <v>137</v>
      </c>
      <c r="C26" s="85">
        <v>25.6</v>
      </c>
      <c r="D26" s="86">
        <v>80</v>
      </c>
      <c r="E26" s="87">
        <v>5.556</v>
      </c>
      <c r="F26" s="87">
        <f>ROUND(E26/C26*G30,3)</f>
        <v>0.65100000000000002</v>
      </c>
      <c r="G26" s="85" t="s">
        <v>34</v>
      </c>
      <c r="H26" s="85" t="s">
        <v>35</v>
      </c>
      <c r="I26" s="87"/>
      <c r="J26" s="85"/>
      <c r="K26" s="85"/>
      <c r="L26" s="85" t="s">
        <v>138</v>
      </c>
      <c r="M26" s="77"/>
      <c r="N26" s="77">
        <v>25.6</v>
      </c>
      <c r="O26" s="77"/>
      <c r="P26" s="77" t="s">
        <v>94</v>
      </c>
      <c r="Q26" s="77" t="s">
        <v>95</v>
      </c>
    </row>
    <row r="27" spans="1:17" ht="30" customHeight="1" x14ac:dyDescent="0.15">
      <c r="A27" s="95"/>
      <c r="B27" s="85" t="s">
        <v>139</v>
      </c>
      <c r="C27" s="85">
        <v>10.6</v>
      </c>
      <c r="D27" s="86">
        <v>80</v>
      </c>
      <c r="E27" s="87">
        <v>5.556</v>
      </c>
      <c r="F27" s="87">
        <f>ROUND(E27/C27*G30,3)</f>
        <v>1.5720000000000001</v>
      </c>
      <c r="G27" s="85" t="s">
        <v>34</v>
      </c>
      <c r="H27" s="85" t="s">
        <v>35</v>
      </c>
      <c r="I27" s="87"/>
      <c r="J27" s="85"/>
      <c r="K27" s="85"/>
      <c r="L27" s="85" t="s">
        <v>138</v>
      </c>
      <c r="M27" s="77"/>
      <c r="N27" s="77">
        <v>10.6</v>
      </c>
      <c r="O27" s="77"/>
      <c r="P27" s="77" t="s">
        <v>94</v>
      </c>
      <c r="Q27" s="77" t="s">
        <v>95</v>
      </c>
    </row>
    <row r="28" spans="1:17" ht="30" customHeight="1" x14ac:dyDescent="0.15">
      <c r="A28" s="95"/>
      <c r="B28" s="85" t="s">
        <v>140</v>
      </c>
      <c r="C28" s="85">
        <v>18.3</v>
      </c>
      <c r="D28" s="86">
        <v>80</v>
      </c>
      <c r="E28" s="87">
        <v>5.556</v>
      </c>
      <c r="F28" s="87">
        <f>ROUND(E28/C28*G30,3)</f>
        <v>0.91100000000000003</v>
      </c>
      <c r="G28" s="85" t="s">
        <v>34</v>
      </c>
      <c r="H28" s="85" t="s">
        <v>35</v>
      </c>
      <c r="I28" s="87"/>
      <c r="J28" s="85"/>
      <c r="K28" s="85"/>
      <c r="L28" s="85" t="s">
        <v>138</v>
      </c>
      <c r="M28" s="77"/>
      <c r="N28" s="77">
        <v>18.3</v>
      </c>
      <c r="O28" s="77"/>
      <c r="P28" s="77" t="s">
        <v>94</v>
      </c>
      <c r="Q28" s="77" t="s">
        <v>95</v>
      </c>
    </row>
    <row r="29" spans="1:17" ht="30" customHeight="1" x14ac:dyDescent="0.15">
      <c r="A29" s="94"/>
      <c r="B29" s="85" t="s">
        <v>141</v>
      </c>
      <c r="C29" s="85">
        <v>20.399999999999999</v>
      </c>
      <c r="D29" s="86">
        <v>80</v>
      </c>
      <c r="E29" s="87">
        <v>5.556</v>
      </c>
      <c r="F29" s="87">
        <f>ROUND(E29/C29*G30,3)</f>
        <v>0.81699999999999995</v>
      </c>
      <c r="G29" s="85" t="s">
        <v>34</v>
      </c>
      <c r="H29" s="85" t="s">
        <v>35</v>
      </c>
      <c r="I29" s="87"/>
      <c r="J29" s="85"/>
      <c r="K29" s="85"/>
      <c r="L29" s="85" t="s">
        <v>138</v>
      </c>
      <c r="M29" s="77"/>
      <c r="N29" s="77">
        <v>20.399999999999999</v>
      </c>
      <c r="O29" s="77"/>
      <c r="P29" s="77" t="s">
        <v>94</v>
      </c>
      <c r="Q29" s="77" t="s">
        <v>95</v>
      </c>
    </row>
    <row r="30" spans="1:17" ht="30" customHeight="1" x14ac:dyDescent="0.2">
      <c r="A30" s="78"/>
      <c r="B30" s="78"/>
      <c r="C30" s="78"/>
      <c r="D30" s="81">
        <f>ROUND(SUM(D22:D29),2)</f>
        <v>720</v>
      </c>
      <c r="E30" s="82">
        <v>50</v>
      </c>
      <c r="F30" s="82">
        <f>IF(G30&gt;1,ROUND(SUM(F22:F29)/G30*2,3),ROUND(SUM(F22:F29),3))</f>
        <v>4.9790000000000001</v>
      </c>
      <c r="G30" s="77">
        <v>3</v>
      </c>
      <c r="H30" s="78"/>
      <c r="I30" s="88">
        <f>ROUND(20-F30,3)</f>
        <v>15.021000000000001</v>
      </c>
      <c r="J30" s="78"/>
      <c r="K30" s="78"/>
      <c r="L30" s="78"/>
      <c r="M30" s="77" t="e">
        <f>AVERAGE(M22:M29)</f>
        <v>#DIV/0!</v>
      </c>
      <c r="N30" s="78"/>
      <c r="O30" s="78"/>
      <c r="P30" s="78"/>
      <c r="Q30" s="78"/>
    </row>
    <row r="31" spans="1:17" ht="30" customHeight="1" x14ac:dyDescent="0.15">
      <c r="A31" s="85" t="s">
        <v>36</v>
      </c>
      <c r="B31" s="85" t="s">
        <v>142</v>
      </c>
      <c r="C31" s="85">
        <v>27.2</v>
      </c>
      <c r="D31" s="86">
        <v>12</v>
      </c>
      <c r="E31" s="87">
        <v>50</v>
      </c>
      <c r="F31" s="87">
        <f>ROUND(E31/C31*G32,3)</f>
        <v>1.8380000000000001</v>
      </c>
      <c r="G31" s="85" t="s">
        <v>37</v>
      </c>
      <c r="H31" s="85" t="s">
        <v>35</v>
      </c>
      <c r="I31" s="87"/>
      <c r="J31" s="85"/>
      <c r="K31" s="85"/>
      <c r="L31" s="85" t="s">
        <v>133</v>
      </c>
      <c r="M31" s="77"/>
      <c r="N31" s="77">
        <v>27.2</v>
      </c>
      <c r="O31" s="77"/>
      <c r="P31" s="77" t="s">
        <v>94</v>
      </c>
      <c r="Q31" s="77" t="s">
        <v>95</v>
      </c>
    </row>
    <row r="32" spans="1:17" ht="30" customHeight="1" x14ac:dyDescent="0.2">
      <c r="A32" s="78"/>
      <c r="B32" s="78"/>
      <c r="C32" s="78"/>
      <c r="D32" s="81">
        <f>ROUND(SUM(D31:D31),2)</f>
        <v>12</v>
      </c>
      <c r="E32" s="82">
        <v>50</v>
      </c>
      <c r="F32" s="82">
        <f>IF(G32&gt;1,ROUND(SUM(F31:F31)/G32*2,3),ROUND(SUM(F31:F31),3))</f>
        <v>1.8380000000000001</v>
      </c>
      <c r="G32" s="77">
        <v>1</v>
      </c>
      <c r="H32" s="78"/>
      <c r="I32" s="88">
        <f>ROUND(20-F32,3)</f>
        <v>18.161999999999999</v>
      </c>
      <c r="J32" s="78"/>
      <c r="K32" s="78"/>
      <c r="L32" s="78"/>
      <c r="M32" s="77" t="e">
        <f>AVERAGE(M31:M31)</f>
        <v>#DIV/0!</v>
      </c>
      <c r="N32" s="78"/>
      <c r="O32" s="78"/>
      <c r="P32" s="78"/>
      <c r="Q32" s="78"/>
    </row>
    <row r="33" spans="1:17" ht="30" customHeight="1" x14ac:dyDescent="0.15">
      <c r="A33" s="85" t="s">
        <v>38</v>
      </c>
      <c r="B33" s="85" t="s">
        <v>143</v>
      </c>
      <c r="C33" s="85">
        <v>21.4</v>
      </c>
      <c r="D33" s="86">
        <v>12</v>
      </c>
      <c r="E33" s="87">
        <v>50</v>
      </c>
      <c r="F33" s="87">
        <f>ROUND(E33/C33*G34,3)</f>
        <v>2.3359999999999999</v>
      </c>
      <c r="G33" s="85" t="s">
        <v>39</v>
      </c>
      <c r="H33" s="85" t="s">
        <v>35</v>
      </c>
      <c r="I33" s="87"/>
      <c r="J33" s="85"/>
      <c r="K33" s="85"/>
      <c r="L33" s="85" t="s">
        <v>133</v>
      </c>
      <c r="M33" s="77"/>
      <c r="N33" s="77">
        <v>21.4</v>
      </c>
      <c r="O33" s="77"/>
      <c r="P33" s="77" t="s">
        <v>94</v>
      </c>
      <c r="Q33" s="77" t="s">
        <v>95</v>
      </c>
    </row>
    <row r="34" spans="1:17" ht="30" customHeight="1" x14ac:dyDescent="0.2">
      <c r="A34" s="78"/>
      <c r="B34" s="78"/>
      <c r="C34" s="78"/>
      <c r="D34" s="81">
        <f>ROUND(SUM(D33:D33),2)</f>
        <v>12</v>
      </c>
      <c r="E34" s="82">
        <v>50</v>
      </c>
      <c r="F34" s="82">
        <f>IF(G34&gt;1,ROUND(SUM(F33:F33)/G34*2,3),ROUND(SUM(F33:F33),3))</f>
        <v>2.3359999999999999</v>
      </c>
      <c r="G34" s="77">
        <v>1</v>
      </c>
      <c r="H34" s="78"/>
      <c r="I34" s="88">
        <f>ROUND(20-F34,3)</f>
        <v>17.664000000000001</v>
      </c>
      <c r="J34" s="78"/>
      <c r="K34" s="78"/>
      <c r="L34" s="78"/>
      <c r="M34" s="77" t="e">
        <f>AVERAGE(M33:M33)</f>
        <v>#DIV/0!</v>
      </c>
      <c r="N34" s="78"/>
      <c r="O34" s="78"/>
      <c r="P34" s="78"/>
      <c r="Q34" s="78"/>
    </row>
    <row r="35" spans="1:17" ht="30" customHeight="1" x14ac:dyDescent="0.15">
      <c r="A35" s="93" t="s">
        <v>40</v>
      </c>
      <c r="B35" s="85" t="s">
        <v>144</v>
      </c>
      <c r="C35" s="85">
        <v>25.71</v>
      </c>
      <c r="D35" s="86">
        <v>1</v>
      </c>
      <c r="E35" s="87">
        <v>4.1669999999999998</v>
      </c>
      <c r="F35" s="87">
        <f>ROUND(E35/C35*G44,3)</f>
        <v>1.135</v>
      </c>
      <c r="G35" s="85" t="s">
        <v>17</v>
      </c>
      <c r="H35" s="85" t="s">
        <v>18</v>
      </c>
      <c r="I35" s="87"/>
      <c r="J35" s="85"/>
      <c r="K35" s="85" t="s">
        <v>145</v>
      </c>
      <c r="L35" s="85" t="s">
        <v>146</v>
      </c>
      <c r="M35" s="77"/>
      <c r="N35" s="77">
        <v>25.71</v>
      </c>
      <c r="O35" s="77"/>
      <c r="P35" s="77"/>
      <c r="Q35" s="77"/>
    </row>
    <row r="36" spans="1:17" ht="30" customHeight="1" x14ac:dyDescent="0.15">
      <c r="A36" s="95"/>
      <c r="B36" s="85" t="s">
        <v>147</v>
      </c>
      <c r="C36" s="85">
        <v>24.41</v>
      </c>
      <c r="D36" s="86">
        <v>1</v>
      </c>
      <c r="E36" s="87">
        <v>4.1669999999999998</v>
      </c>
      <c r="F36" s="87">
        <f>ROUND(E36/C36*G44,3)</f>
        <v>1.1950000000000001</v>
      </c>
      <c r="G36" s="85" t="s">
        <v>17</v>
      </c>
      <c r="H36" s="85" t="s">
        <v>18</v>
      </c>
      <c r="I36" s="87"/>
      <c r="J36" s="85"/>
      <c r="K36" s="85" t="s">
        <v>148</v>
      </c>
      <c r="L36" s="85" t="s">
        <v>146</v>
      </c>
      <c r="M36" s="77"/>
      <c r="N36" s="77">
        <v>24.41</v>
      </c>
      <c r="O36" s="77"/>
      <c r="P36" s="77"/>
      <c r="Q36" s="77"/>
    </row>
    <row r="37" spans="1:17" ht="30" customHeight="1" x14ac:dyDescent="0.15">
      <c r="A37" s="95"/>
      <c r="B37" s="85" t="s">
        <v>149</v>
      </c>
      <c r="C37" s="85">
        <v>17.54</v>
      </c>
      <c r="D37" s="86">
        <v>2</v>
      </c>
      <c r="E37" s="87">
        <v>8.3330000000000002</v>
      </c>
      <c r="F37" s="87">
        <f>ROUND(E37/C37*G44,3)</f>
        <v>3.3260000000000001</v>
      </c>
      <c r="G37" s="85" t="s">
        <v>17</v>
      </c>
      <c r="H37" s="85" t="s">
        <v>18</v>
      </c>
      <c r="I37" s="87"/>
      <c r="J37" s="85"/>
      <c r="K37" s="85" t="s">
        <v>150</v>
      </c>
      <c r="L37" s="85" t="s">
        <v>146</v>
      </c>
      <c r="M37" s="77"/>
      <c r="N37" s="77">
        <v>17.54</v>
      </c>
      <c r="O37" s="77"/>
      <c r="P37" s="77"/>
      <c r="Q37" s="77"/>
    </row>
    <row r="38" spans="1:17" ht="30" customHeight="1" x14ac:dyDescent="0.15">
      <c r="A38" s="95"/>
      <c r="B38" s="85" t="s">
        <v>151</v>
      </c>
      <c r="C38" s="85">
        <v>6.51</v>
      </c>
      <c r="D38" s="86">
        <v>1</v>
      </c>
      <c r="E38" s="87">
        <v>4.1669999999999998</v>
      </c>
      <c r="F38" s="87">
        <f>ROUND(E38/C38*G44,3)</f>
        <v>4.4809999999999999</v>
      </c>
      <c r="G38" s="85" t="s">
        <v>17</v>
      </c>
      <c r="H38" s="85" t="s">
        <v>18</v>
      </c>
      <c r="I38" s="87"/>
      <c r="J38" s="85"/>
      <c r="K38" s="85" t="s">
        <v>152</v>
      </c>
      <c r="L38" s="85" t="s">
        <v>146</v>
      </c>
      <c r="M38" s="77"/>
      <c r="N38" s="77">
        <v>6.51</v>
      </c>
      <c r="O38" s="77"/>
      <c r="P38" s="77"/>
      <c r="Q38" s="77"/>
    </row>
    <row r="39" spans="1:17" ht="30" customHeight="1" x14ac:dyDescent="0.15">
      <c r="A39" s="95"/>
      <c r="B39" s="85" t="s">
        <v>153</v>
      </c>
      <c r="C39" s="85">
        <v>26.96</v>
      </c>
      <c r="D39" s="86">
        <v>3</v>
      </c>
      <c r="E39" s="87">
        <v>12.5</v>
      </c>
      <c r="F39" s="87">
        <f>ROUND(E39/C39*G44,3)</f>
        <v>3.246</v>
      </c>
      <c r="G39" s="85" t="s">
        <v>17</v>
      </c>
      <c r="H39" s="85" t="s">
        <v>18</v>
      </c>
      <c r="I39" s="87"/>
      <c r="J39" s="85"/>
      <c r="K39" s="85" t="s">
        <v>154</v>
      </c>
      <c r="L39" s="85" t="s">
        <v>146</v>
      </c>
      <c r="M39" s="77"/>
      <c r="N39" s="77">
        <v>26.96</v>
      </c>
      <c r="O39" s="77"/>
      <c r="P39" s="77"/>
      <c r="Q39" s="77"/>
    </row>
    <row r="40" spans="1:17" ht="30" customHeight="1" x14ac:dyDescent="0.15">
      <c r="A40" s="95"/>
      <c r="B40" s="85" t="s">
        <v>155</v>
      </c>
      <c r="C40" s="85">
        <v>21.32</v>
      </c>
      <c r="D40" s="86">
        <v>1</v>
      </c>
      <c r="E40" s="87">
        <v>4.1669999999999998</v>
      </c>
      <c r="F40" s="87">
        <f>ROUND(E40/C40*G44,3)</f>
        <v>1.3680000000000001</v>
      </c>
      <c r="G40" s="85" t="s">
        <v>17</v>
      </c>
      <c r="H40" s="85" t="s">
        <v>18</v>
      </c>
      <c r="I40" s="87"/>
      <c r="J40" s="85"/>
      <c r="K40" s="85" t="s">
        <v>156</v>
      </c>
      <c r="L40" s="85" t="s">
        <v>146</v>
      </c>
      <c r="M40" s="77"/>
      <c r="N40" s="77">
        <v>21.32</v>
      </c>
      <c r="O40" s="77"/>
      <c r="P40" s="77"/>
      <c r="Q40" s="77"/>
    </row>
    <row r="41" spans="1:17" ht="30" customHeight="1" x14ac:dyDescent="0.15">
      <c r="A41" s="95"/>
      <c r="B41" s="85" t="s">
        <v>157</v>
      </c>
      <c r="C41" s="85">
        <v>15.66</v>
      </c>
      <c r="D41" s="86">
        <v>1</v>
      </c>
      <c r="E41" s="87">
        <v>4.1669999999999998</v>
      </c>
      <c r="F41" s="87">
        <f>ROUND(E41/C41*G44,3)</f>
        <v>1.863</v>
      </c>
      <c r="G41" s="85" t="s">
        <v>17</v>
      </c>
      <c r="H41" s="85" t="s">
        <v>18</v>
      </c>
      <c r="I41" s="87"/>
      <c r="J41" s="85"/>
      <c r="K41" s="89" t="s">
        <v>158</v>
      </c>
      <c r="L41" s="85" t="s">
        <v>146</v>
      </c>
      <c r="M41" s="77"/>
      <c r="N41" s="77">
        <v>15.66</v>
      </c>
      <c r="O41" s="77"/>
      <c r="P41" s="77"/>
      <c r="Q41" s="77"/>
    </row>
    <row r="42" spans="1:17" ht="30" customHeight="1" x14ac:dyDescent="0.15">
      <c r="A42" s="95"/>
      <c r="B42" s="85" t="s">
        <v>159</v>
      </c>
      <c r="C42" s="85">
        <v>5.34</v>
      </c>
      <c r="D42" s="86">
        <v>1</v>
      </c>
      <c r="E42" s="87">
        <v>4.1669999999999998</v>
      </c>
      <c r="F42" s="87">
        <f>ROUND(E42/C42*G44,3)</f>
        <v>5.4619999999999997</v>
      </c>
      <c r="G42" s="85" t="s">
        <v>17</v>
      </c>
      <c r="H42" s="85" t="s">
        <v>18</v>
      </c>
      <c r="I42" s="87"/>
      <c r="J42" s="85"/>
      <c r="K42" s="89" t="s">
        <v>160</v>
      </c>
      <c r="L42" s="85" t="s">
        <v>146</v>
      </c>
      <c r="M42" s="77"/>
      <c r="N42" s="77">
        <v>5.34</v>
      </c>
      <c r="O42" s="77"/>
      <c r="P42" s="77"/>
      <c r="Q42" s="77"/>
    </row>
    <row r="43" spans="1:17" ht="30" customHeight="1" x14ac:dyDescent="0.15">
      <c r="A43" s="94"/>
      <c r="B43" s="85" t="s">
        <v>161</v>
      </c>
      <c r="C43" s="85">
        <v>11.31</v>
      </c>
      <c r="D43" s="86">
        <v>1</v>
      </c>
      <c r="E43" s="87">
        <v>4.1669999999999998</v>
      </c>
      <c r="F43" s="87">
        <f>ROUND(E43/C43*G44,3)</f>
        <v>2.5790000000000002</v>
      </c>
      <c r="G43" s="85" t="s">
        <v>17</v>
      </c>
      <c r="H43" s="85" t="s">
        <v>18</v>
      </c>
      <c r="I43" s="87"/>
      <c r="J43" s="85"/>
      <c r="K43" s="85" t="s">
        <v>162</v>
      </c>
      <c r="L43" s="85" t="s">
        <v>146</v>
      </c>
      <c r="M43" s="77"/>
      <c r="N43" s="77">
        <v>11.31</v>
      </c>
      <c r="O43" s="77"/>
      <c r="P43" s="77"/>
      <c r="Q43" s="77"/>
    </row>
    <row r="44" spans="1:17" ht="30" customHeight="1" x14ac:dyDescent="0.2">
      <c r="A44" s="78"/>
      <c r="B44" s="78"/>
      <c r="C44" s="78"/>
      <c r="D44" s="81">
        <f>ROUND(SUM(D35:D43),2)</f>
        <v>12</v>
      </c>
      <c r="E44" s="82">
        <v>50.002000000000002</v>
      </c>
      <c r="F44" s="82">
        <f>IF(G44&gt;1,ROUND(SUM(F35:F43)/G44*2,3),ROUND(SUM(F35:F43),3))</f>
        <v>7.0439999999999996</v>
      </c>
      <c r="G44" s="77">
        <v>7</v>
      </c>
      <c r="H44" s="78"/>
      <c r="I44" s="88">
        <f>ROUND(20-F44,3)</f>
        <v>12.956</v>
      </c>
      <c r="J44" s="78"/>
      <c r="K44" s="78"/>
      <c r="L44" s="78"/>
      <c r="M44" s="77" t="e">
        <f>AVERAGE(M35:M43)</f>
        <v>#DIV/0!</v>
      </c>
      <c r="N44" s="78"/>
      <c r="O44" s="78"/>
      <c r="P44" s="78"/>
      <c r="Q44" s="78"/>
    </row>
    <row r="45" spans="1:17" ht="30" customHeight="1" x14ac:dyDescent="0.15">
      <c r="A45" s="93" t="s">
        <v>41</v>
      </c>
      <c r="B45" s="85" t="s">
        <v>163</v>
      </c>
      <c r="C45" s="85">
        <v>4.5</v>
      </c>
      <c r="D45" s="86">
        <v>5</v>
      </c>
      <c r="E45" s="87">
        <v>7.1429999999999998</v>
      </c>
      <c r="F45" s="87">
        <f>ROUND(E45/C45*G55,3)</f>
        <v>4.7619999999999996</v>
      </c>
      <c r="G45" s="85" t="s">
        <v>17</v>
      </c>
      <c r="H45" s="85" t="s">
        <v>18</v>
      </c>
      <c r="I45" s="87"/>
      <c r="J45" s="85"/>
      <c r="K45" s="85" t="s">
        <v>164</v>
      </c>
      <c r="L45" s="85" t="s">
        <v>146</v>
      </c>
      <c r="M45" s="77"/>
      <c r="N45" s="77">
        <v>4.5</v>
      </c>
      <c r="O45" s="77"/>
      <c r="P45" s="77"/>
      <c r="Q45" s="77"/>
    </row>
    <row r="46" spans="1:17" ht="30" customHeight="1" x14ac:dyDescent="0.15">
      <c r="A46" s="95"/>
      <c r="B46" s="85" t="s">
        <v>165</v>
      </c>
      <c r="C46" s="85">
        <v>3.63</v>
      </c>
      <c r="D46" s="86">
        <v>2</v>
      </c>
      <c r="E46" s="87">
        <v>2.8570000000000002</v>
      </c>
      <c r="F46" s="87">
        <f>ROUND(E46/C46*G55,3)</f>
        <v>2.3610000000000002</v>
      </c>
      <c r="G46" s="85" t="s">
        <v>17</v>
      </c>
      <c r="H46" s="85" t="s">
        <v>18</v>
      </c>
      <c r="I46" s="87"/>
      <c r="J46" s="85"/>
      <c r="K46" s="85" t="s">
        <v>166</v>
      </c>
      <c r="L46" s="85" t="s">
        <v>146</v>
      </c>
      <c r="M46" s="77"/>
      <c r="N46" s="77">
        <v>3.63</v>
      </c>
      <c r="O46" s="77"/>
      <c r="P46" s="77"/>
      <c r="Q46" s="77"/>
    </row>
    <row r="47" spans="1:17" ht="30" customHeight="1" x14ac:dyDescent="0.15">
      <c r="A47" s="95"/>
      <c r="B47" s="85" t="s">
        <v>167</v>
      </c>
      <c r="C47" s="85">
        <v>6.72</v>
      </c>
      <c r="D47" s="86">
        <v>2</v>
      </c>
      <c r="E47" s="87">
        <v>2.8570000000000002</v>
      </c>
      <c r="F47" s="87">
        <f>ROUND(E47/C47*G55,3)</f>
        <v>1.2749999999999999</v>
      </c>
      <c r="G47" s="85" t="s">
        <v>17</v>
      </c>
      <c r="H47" s="85" t="s">
        <v>18</v>
      </c>
      <c r="I47" s="87"/>
      <c r="J47" s="85"/>
      <c r="K47" s="85" t="s">
        <v>168</v>
      </c>
      <c r="L47" s="85" t="s">
        <v>146</v>
      </c>
      <c r="M47" s="77"/>
      <c r="N47" s="77">
        <v>6.72</v>
      </c>
      <c r="O47" s="77"/>
      <c r="P47" s="77"/>
      <c r="Q47" s="77"/>
    </row>
    <row r="48" spans="1:17" ht="30" customHeight="1" x14ac:dyDescent="0.15">
      <c r="A48" s="95"/>
      <c r="B48" s="85" t="s">
        <v>169</v>
      </c>
      <c r="C48" s="85">
        <v>3.82</v>
      </c>
      <c r="D48" s="86">
        <v>4</v>
      </c>
      <c r="E48" s="87">
        <v>5.7140000000000004</v>
      </c>
      <c r="F48" s="87">
        <f>ROUND(E48/C48*G55,3)</f>
        <v>4.4870000000000001</v>
      </c>
      <c r="G48" s="85" t="s">
        <v>17</v>
      </c>
      <c r="H48" s="85" t="s">
        <v>18</v>
      </c>
      <c r="I48" s="87"/>
      <c r="J48" s="85"/>
      <c r="K48" s="85" t="s">
        <v>170</v>
      </c>
      <c r="L48" s="85" t="s">
        <v>146</v>
      </c>
      <c r="M48" s="77"/>
      <c r="N48" s="77">
        <v>3.82</v>
      </c>
      <c r="O48" s="77"/>
      <c r="P48" s="77"/>
      <c r="Q48" s="77"/>
    </row>
    <row r="49" spans="1:17" ht="30" customHeight="1" x14ac:dyDescent="0.15">
      <c r="A49" s="95"/>
      <c r="B49" s="85" t="s">
        <v>171</v>
      </c>
      <c r="C49" s="85">
        <v>7.94</v>
      </c>
      <c r="D49" s="86">
        <v>3</v>
      </c>
      <c r="E49" s="87">
        <v>4.2859999999999996</v>
      </c>
      <c r="F49" s="87">
        <f>ROUND(E49/C49*G55,3)</f>
        <v>1.619</v>
      </c>
      <c r="G49" s="85" t="s">
        <v>17</v>
      </c>
      <c r="H49" s="85" t="s">
        <v>18</v>
      </c>
      <c r="I49" s="87"/>
      <c r="J49" s="85"/>
      <c r="K49" s="85" t="s">
        <v>172</v>
      </c>
      <c r="L49" s="85" t="s">
        <v>146</v>
      </c>
      <c r="M49" s="77"/>
      <c r="N49" s="77">
        <v>7.94</v>
      </c>
      <c r="O49" s="77"/>
      <c r="P49" s="77"/>
      <c r="Q49" s="77"/>
    </row>
    <row r="50" spans="1:17" ht="30" customHeight="1" x14ac:dyDescent="0.15">
      <c r="A50" s="95"/>
      <c r="B50" s="85" t="s">
        <v>173</v>
      </c>
      <c r="C50" s="85">
        <v>3.45</v>
      </c>
      <c r="D50" s="86">
        <v>3</v>
      </c>
      <c r="E50" s="87">
        <v>4.2859999999999996</v>
      </c>
      <c r="F50" s="87">
        <f>ROUND(E50/C50*G55,3)</f>
        <v>3.7269999999999999</v>
      </c>
      <c r="G50" s="85" t="s">
        <v>17</v>
      </c>
      <c r="H50" s="85" t="s">
        <v>18</v>
      </c>
      <c r="I50" s="87"/>
      <c r="J50" s="85"/>
      <c r="K50" s="85" t="s">
        <v>174</v>
      </c>
      <c r="L50" s="85" t="s">
        <v>146</v>
      </c>
      <c r="M50" s="77"/>
      <c r="N50" s="77">
        <v>3.45</v>
      </c>
      <c r="O50" s="77"/>
      <c r="P50" s="77"/>
      <c r="Q50" s="77"/>
    </row>
    <row r="51" spans="1:17" ht="30" customHeight="1" x14ac:dyDescent="0.15">
      <c r="A51" s="95"/>
      <c r="B51" s="85" t="s">
        <v>175</v>
      </c>
      <c r="C51" s="85">
        <v>14.11</v>
      </c>
      <c r="D51" s="86">
        <v>4</v>
      </c>
      <c r="E51" s="87">
        <v>5.7140000000000004</v>
      </c>
      <c r="F51" s="87">
        <f>ROUND(E51/C51*G55,3)</f>
        <v>1.2150000000000001</v>
      </c>
      <c r="G51" s="85" t="s">
        <v>17</v>
      </c>
      <c r="H51" s="85" t="s">
        <v>18</v>
      </c>
      <c r="I51" s="87"/>
      <c r="J51" s="85"/>
      <c r="K51" s="85" t="s">
        <v>176</v>
      </c>
      <c r="L51" s="85" t="s">
        <v>146</v>
      </c>
      <c r="M51" s="77"/>
      <c r="N51" s="77">
        <v>14.11</v>
      </c>
      <c r="O51" s="77"/>
      <c r="P51" s="77"/>
      <c r="Q51" s="77"/>
    </row>
    <row r="52" spans="1:17" ht="30" customHeight="1" x14ac:dyDescent="0.15">
      <c r="A52" s="95"/>
      <c r="B52" s="85" t="s">
        <v>177</v>
      </c>
      <c r="C52" s="85">
        <v>15.46</v>
      </c>
      <c r="D52" s="86">
        <v>7</v>
      </c>
      <c r="E52" s="87">
        <v>10</v>
      </c>
      <c r="F52" s="87">
        <f>ROUND(E52/C52*G55,3)</f>
        <v>1.94</v>
      </c>
      <c r="G52" s="85" t="s">
        <v>17</v>
      </c>
      <c r="H52" s="85" t="s">
        <v>18</v>
      </c>
      <c r="I52" s="87"/>
      <c r="J52" s="85"/>
      <c r="K52" s="85" t="s">
        <v>178</v>
      </c>
      <c r="L52" s="85" t="s">
        <v>146</v>
      </c>
      <c r="M52" s="77"/>
      <c r="N52" s="77">
        <v>15.46</v>
      </c>
      <c r="O52" s="77"/>
      <c r="P52" s="77"/>
      <c r="Q52" s="77"/>
    </row>
    <row r="53" spans="1:17" ht="30" customHeight="1" x14ac:dyDescent="0.15">
      <c r="A53" s="95"/>
      <c r="B53" s="85" t="s">
        <v>179</v>
      </c>
      <c r="C53" s="85">
        <v>3.37</v>
      </c>
      <c r="D53" s="86">
        <v>1</v>
      </c>
      <c r="E53" s="87">
        <v>1.429</v>
      </c>
      <c r="F53" s="87">
        <f>ROUND(E53/C53*G55,3)</f>
        <v>1.272</v>
      </c>
      <c r="G53" s="85" t="s">
        <v>17</v>
      </c>
      <c r="H53" s="85" t="s">
        <v>18</v>
      </c>
      <c r="I53" s="87"/>
      <c r="J53" s="85"/>
      <c r="K53" s="89" t="s">
        <v>180</v>
      </c>
      <c r="L53" s="85" t="s">
        <v>146</v>
      </c>
      <c r="M53" s="77"/>
      <c r="N53" s="77">
        <v>3.37</v>
      </c>
      <c r="O53" s="77"/>
      <c r="P53" s="77"/>
      <c r="Q53" s="77"/>
    </row>
    <row r="54" spans="1:17" ht="30" customHeight="1" x14ac:dyDescent="0.15">
      <c r="A54" s="94"/>
      <c r="B54" s="85" t="s">
        <v>181</v>
      </c>
      <c r="C54" s="85">
        <v>16.03</v>
      </c>
      <c r="D54" s="86">
        <v>4</v>
      </c>
      <c r="E54" s="87">
        <v>5.7140000000000004</v>
      </c>
      <c r="F54" s="87">
        <f>ROUND(E54/C54*G55,3)</f>
        <v>1.069</v>
      </c>
      <c r="G54" s="85" t="s">
        <v>17</v>
      </c>
      <c r="H54" s="85" t="s">
        <v>18</v>
      </c>
      <c r="I54" s="87"/>
      <c r="J54" s="85"/>
      <c r="K54" s="89" t="s">
        <v>182</v>
      </c>
      <c r="L54" s="85" t="s">
        <v>146</v>
      </c>
      <c r="M54" s="77"/>
      <c r="N54" s="77">
        <v>16.03</v>
      </c>
      <c r="O54" s="77"/>
      <c r="P54" s="77"/>
      <c r="Q54" s="77"/>
    </row>
    <row r="55" spans="1:17" ht="30" customHeight="1" x14ac:dyDescent="0.2">
      <c r="A55" s="78"/>
      <c r="B55" s="78"/>
      <c r="C55" s="78"/>
      <c r="D55" s="81">
        <f>ROUND(SUM(D45:D54),2)</f>
        <v>35</v>
      </c>
      <c r="E55" s="82">
        <v>50</v>
      </c>
      <c r="F55" s="82">
        <f>IF(G55&gt;1,ROUND(SUM(F45:F54)/G55*2,3),ROUND(SUM(F45:F54),3))</f>
        <v>15.818</v>
      </c>
      <c r="G55" s="77">
        <v>3</v>
      </c>
      <c r="H55" s="78"/>
      <c r="I55" s="88">
        <f>ROUND(20-F55,3)</f>
        <v>4.1820000000000004</v>
      </c>
      <c r="J55" s="78"/>
      <c r="K55" s="78"/>
      <c r="L55" s="78"/>
      <c r="M55" s="77" t="e">
        <f>AVERAGE(M45:M54)</f>
        <v>#DIV/0!</v>
      </c>
      <c r="N55" s="78"/>
      <c r="O55" s="78"/>
      <c r="P55" s="78"/>
      <c r="Q55" s="78"/>
    </row>
    <row r="56" spans="1:17" ht="30" customHeight="1" x14ac:dyDescent="0.15">
      <c r="A56" s="85" t="s">
        <v>42</v>
      </c>
      <c r="B56" s="85" t="s">
        <v>183</v>
      </c>
      <c r="C56" s="85">
        <v>3.69</v>
      </c>
      <c r="D56" s="86">
        <v>7</v>
      </c>
      <c r="E56" s="87">
        <v>50</v>
      </c>
      <c r="F56" s="87">
        <f>ROUND(E56/C56*G57,3)</f>
        <v>13.55</v>
      </c>
      <c r="G56" s="85" t="s">
        <v>17</v>
      </c>
      <c r="H56" s="85" t="s">
        <v>18</v>
      </c>
      <c r="I56" s="87"/>
      <c r="J56" s="85"/>
      <c r="K56" s="85" t="s">
        <v>184</v>
      </c>
      <c r="L56" s="85" t="s">
        <v>146</v>
      </c>
      <c r="M56" s="77"/>
      <c r="N56" s="77">
        <v>3.69</v>
      </c>
      <c r="O56" s="77"/>
      <c r="P56" s="77"/>
      <c r="Q56" s="77"/>
    </row>
    <row r="57" spans="1:17" ht="30" customHeight="1" x14ac:dyDescent="0.2">
      <c r="A57" s="78"/>
      <c r="B57" s="78"/>
      <c r="C57" s="78"/>
      <c r="D57" s="81">
        <f>ROUND(SUM(D56:D56),2)</f>
        <v>7</v>
      </c>
      <c r="E57" s="82">
        <v>50</v>
      </c>
      <c r="F57" s="82">
        <f>IF(G57&gt;1,ROUND(SUM(F56:F56)/G57*2,3),ROUND(SUM(F56:F56),3))</f>
        <v>13.55</v>
      </c>
      <c r="G57" s="77">
        <v>1</v>
      </c>
      <c r="H57" s="78"/>
      <c r="I57" s="88">
        <f>ROUND(20-F57,3)</f>
        <v>6.45</v>
      </c>
      <c r="J57" s="78"/>
      <c r="K57" s="78"/>
      <c r="L57" s="78"/>
      <c r="M57" s="77" t="e">
        <f>AVERAGE(M56:M56)</f>
        <v>#DIV/0!</v>
      </c>
      <c r="N57" s="78"/>
      <c r="O57" s="78"/>
      <c r="P57" s="78"/>
      <c r="Q57" s="78"/>
    </row>
    <row r="58" spans="1:17" ht="30" customHeight="1" x14ac:dyDescent="0.15">
      <c r="A58" s="93" t="s">
        <v>43</v>
      </c>
      <c r="B58" s="85" t="s">
        <v>185</v>
      </c>
      <c r="C58" s="85">
        <v>2.2200000000000002</v>
      </c>
      <c r="D58" s="86">
        <v>1</v>
      </c>
      <c r="E58" s="87">
        <v>2.5</v>
      </c>
      <c r="F58" s="87">
        <f>ROUND(E58/C58*G62,3)</f>
        <v>2.2519999999999998</v>
      </c>
      <c r="G58" s="85" t="s">
        <v>44</v>
      </c>
      <c r="H58" s="85" t="s">
        <v>18</v>
      </c>
      <c r="I58" s="87"/>
      <c r="J58" s="85"/>
      <c r="K58" s="85" t="s">
        <v>186</v>
      </c>
      <c r="L58" s="85" t="s">
        <v>146</v>
      </c>
      <c r="M58" s="77"/>
      <c r="N58" s="77">
        <v>2.2200000000000002</v>
      </c>
      <c r="O58" s="77"/>
      <c r="P58" s="77"/>
      <c r="Q58" s="77"/>
    </row>
    <row r="59" spans="1:17" ht="30" customHeight="1" x14ac:dyDescent="0.15">
      <c r="A59" s="95"/>
      <c r="B59" s="85" t="s">
        <v>187</v>
      </c>
      <c r="C59" s="85">
        <v>1</v>
      </c>
      <c r="D59" s="86">
        <v>1</v>
      </c>
      <c r="E59" s="87">
        <v>2.5</v>
      </c>
      <c r="F59" s="87">
        <f>ROUND(E59/C59*G62,3)</f>
        <v>5</v>
      </c>
      <c r="G59" s="85" t="s">
        <v>44</v>
      </c>
      <c r="H59" s="85" t="s">
        <v>18</v>
      </c>
      <c r="I59" s="87"/>
      <c r="J59" s="85"/>
      <c r="K59" s="85" t="s">
        <v>186</v>
      </c>
      <c r="L59" s="85" t="s">
        <v>146</v>
      </c>
      <c r="M59" s="77"/>
      <c r="N59" s="77">
        <v>1</v>
      </c>
      <c r="O59" s="77"/>
      <c r="P59" s="77"/>
      <c r="Q59" s="77"/>
    </row>
    <row r="60" spans="1:17" ht="30" customHeight="1" x14ac:dyDescent="0.15">
      <c r="A60" s="95"/>
      <c r="B60" s="85" t="s">
        <v>188</v>
      </c>
      <c r="C60" s="85">
        <v>1.25</v>
      </c>
      <c r="D60" s="86">
        <v>1</v>
      </c>
      <c r="E60" s="87">
        <v>2.5</v>
      </c>
      <c r="F60" s="87">
        <f>ROUND(E60/C60*G62,3)</f>
        <v>4</v>
      </c>
      <c r="G60" s="85" t="s">
        <v>44</v>
      </c>
      <c r="H60" s="85" t="s">
        <v>18</v>
      </c>
      <c r="I60" s="87"/>
      <c r="J60" s="85"/>
      <c r="K60" s="85" t="s">
        <v>186</v>
      </c>
      <c r="L60" s="85" t="s">
        <v>146</v>
      </c>
      <c r="M60" s="77"/>
      <c r="N60" s="77">
        <v>1.25</v>
      </c>
      <c r="O60" s="77"/>
      <c r="P60" s="77"/>
      <c r="Q60" s="77"/>
    </row>
    <row r="61" spans="1:17" ht="30" customHeight="1" x14ac:dyDescent="0.15">
      <c r="A61" s="94"/>
      <c r="B61" s="85" t="s">
        <v>189</v>
      </c>
      <c r="C61" s="85">
        <v>2.58</v>
      </c>
      <c r="D61" s="86">
        <v>1</v>
      </c>
      <c r="E61" s="87">
        <v>2.5</v>
      </c>
      <c r="F61" s="87">
        <f>ROUND(E61/C61*G62,3)</f>
        <v>1.9379999999999999</v>
      </c>
      <c r="G61" s="85" t="s">
        <v>44</v>
      </c>
      <c r="H61" s="85" t="s">
        <v>18</v>
      </c>
      <c r="I61" s="87"/>
      <c r="J61" s="85"/>
      <c r="K61" s="85" t="s">
        <v>186</v>
      </c>
      <c r="L61" s="85" t="s">
        <v>146</v>
      </c>
      <c r="M61" s="77"/>
      <c r="N61" s="77">
        <v>2.58</v>
      </c>
      <c r="O61" s="77"/>
      <c r="P61" s="77"/>
      <c r="Q61" s="77"/>
    </row>
    <row r="62" spans="1:17" ht="30" customHeight="1" x14ac:dyDescent="0.2">
      <c r="A62" s="78"/>
      <c r="B62" s="78"/>
      <c r="C62" s="78"/>
      <c r="D62" s="81">
        <f>ROUND(SUM(D58:D61),2)</f>
        <v>4</v>
      </c>
      <c r="E62" s="82">
        <v>10</v>
      </c>
      <c r="F62" s="82">
        <f>IF(G62&gt;1,ROUND(SUM(F58:F61)/G62*2,3),ROUND(SUM(F58:F61),3))</f>
        <v>13.19</v>
      </c>
      <c r="G62" s="77">
        <v>2</v>
      </c>
      <c r="H62" s="78"/>
      <c r="I62" s="88">
        <f>ROUND(20-F62,3)</f>
        <v>6.81</v>
      </c>
      <c r="J62" s="78"/>
      <c r="K62" s="78"/>
      <c r="L62" s="78"/>
      <c r="M62" s="77" t="e">
        <f>AVERAGE(M58:M61)</f>
        <v>#DIV/0!</v>
      </c>
      <c r="N62" s="78"/>
      <c r="O62" s="78"/>
      <c r="P62" s="78"/>
      <c r="Q62" s="78"/>
    </row>
    <row r="63" spans="1:17" ht="30" customHeight="1" x14ac:dyDescent="0.15">
      <c r="A63" s="85" t="s">
        <v>45</v>
      </c>
      <c r="B63" s="85" t="s">
        <v>190</v>
      </c>
      <c r="C63" s="85">
        <v>45.08</v>
      </c>
      <c r="D63" s="86">
        <v>108</v>
      </c>
      <c r="E63" s="87">
        <v>50</v>
      </c>
      <c r="F63" s="87">
        <f>ROUND(E63/C63*G64,3)</f>
        <v>1.109</v>
      </c>
      <c r="G63" s="85" t="s">
        <v>46</v>
      </c>
      <c r="H63" s="85" t="s">
        <v>47</v>
      </c>
      <c r="I63" s="87"/>
      <c r="J63" s="85"/>
      <c r="K63" s="85"/>
      <c r="L63" s="85"/>
      <c r="M63" s="77">
        <v>490</v>
      </c>
      <c r="N63" s="77">
        <v>45.08</v>
      </c>
      <c r="O63" s="77" t="s">
        <v>191</v>
      </c>
      <c r="P63" s="77"/>
      <c r="Q63" s="77"/>
    </row>
    <row r="64" spans="1:17" ht="30" customHeight="1" x14ac:dyDescent="0.2">
      <c r="A64" s="78"/>
      <c r="B64" s="78"/>
      <c r="C64" s="78"/>
      <c r="D64" s="81">
        <f>ROUND(SUM(D63:D63),2)</f>
        <v>108</v>
      </c>
      <c r="E64" s="82">
        <v>50</v>
      </c>
      <c r="F64" s="82">
        <f>IF(G64&gt;1,ROUND(SUM(F63:F63)/G64*2,3),ROUND(SUM(F63:F63),3))</f>
        <v>1.109</v>
      </c>
      <c r="G64" s="77">
        <v>1</v>
      </c>
      <c r="H64" s="78"/>
      <c r="I64" s="88">
        <f>ROUND(20-F64,3)</f>
        <v>18.890999999999998</v>
      </c>
      <c r="J64" s="78"/>
      <c r="K64" s="78"/>
      <c r="L64" s="78"/>
      <c r="M64" s="77">
        <f>AVERAGE(M63:M63)</f>
        <v>490</v>
      </c>
      <c r="N64" s="78"/>
      <c r="O64" s="78"/>
      <c r="P64" s="78"/>
      <c r="Q64" s="78"/>
    </row>
    <row r="65" spans="1:17" ht="30" customHeight="1" x14ac:dyDescent="0.15">
      <c r="A65" s="93" t="s">
        <v>48</v>
      </c>
      <c r="B65" s="85" t="s">
        <v>192</v>
      </c>
      <c r="C65" s="85">
        <v>46.4</v>
      </c>
      <c r="D65" s="86">
        <v>10.09</v>
      </c>
      <c r="E65" s="87">
        <v>22.521999999999998</v>
      </c>
      <c r="F65" s="87">
        <f>ROUND(E65/C65*G68,3)</f>
        <v>1.456</v>
      </c>
      <c r="G65" s="85" t="s">
        <v>49</v>
      </c>
      <c r="H65" s="85" t="s">
        <v>50</v>
      </c>
      <c r="I65" s="87"/>
      <c r="J65" s="85"/>
      <c r="K65" s="85"/>
      <c r="L65" s="85" t="s">
        <v>103</v>
      </c>
      <c r="M65" s="77"/>
      <c r="N65" s="77">
        <v>46.4</v>
      </c>
      <c r="O65" s="77"/>
      <c r="P65" s="77" t="s">
        <v>94</v>
      </c>
      <c r="Q65" s="77" t="s">
        <v>95</v>
      </c>
    </row>
    <row r="66" spans="1:17" ht="30" customHeight="1" x14ac:dyDescent="0.15">
      <c r="A66" s="95"/>
      <c r="B66" s="85" t="s">
        <v>193</v>
      </c>
      <c r="C66" s="85">
        <v>60.12</v>
      </c>
      <c r="D66" s="86">
        <v>4.82</v>
      </c>
      <c r="E66" s="87">
        <v>10.759</v>
      </c>
      <c r="F66" s="87">
        <f>ROUND(E66/C66*G68,3)</f>
        <v>0.53700000000000003</v>
      </c>
      <c r="G66" s="85" t="s">
        <v>49</v>
      </c>
      <c r="H66" s="85" t="s">
        <v>50</v>
      </c>
      <c r="I66" s="87"/>
      <c r="J66" s="85"/>
      <c r="K66" s="85"/>
      <c r="L66" s="85" t="s">
        <v>103</v>
      </c>
      <c r="M66" s="77"/>
      <c r="N66" s="77">
        <v>60.12</v>
      </c>
      <c r="O66" s="77"/>
      <c r="P66" s="77" t="s">
        <v>94</v>
      </c>
      <c r="Q66" s="77" t="s">
        <v>95</v>
      </c>
    </row>
    <row r="67" spans="1:17" ht="30" customHeight="1" x14ac:dyDescent="0.15">
      <c r="A67" s="94"/>
      <c r="B67" s="85" t="s">
        <v>194</v>
      </c>
      <c r="C67" s="85">
        <v>42.5</v>
      </c>
      <c r="D67" s="86">
        <v>7.49</v>
      </c>
      <c r="E67" s="87">
        <v>16.719000000000001</v>
      </c>
      <c r="F67" s="87">
        <f>ROUND(E67/C67*G68,3)</f>
        <v>1.18</v>
      </c>
      <c r="G67" s="85" t="s">
        <v>49</v>
      </c>
      <c r="H67" s="85" t="s">
        <v>50</v>
      </c>
      <c r="I67" s="87"/>
      <c r="J67" s="85"/>
      <c r="K67" s="85"/>
      <c r="L67" s="85" t="s">
        <v>103</v>
      </c>
      <c r="M67" s="77"/>
      <c r="N67" s="77">
        <v>42.5</v>
      </c>
      <c r="O67" s="77"/>
      <c r="P67" s="77" t="s">
        <v>94</v>
      </c>
      <c r="Q67" s="77" t="s">
        <v>95</v>
      </c>
    </row>
    <row r="68" spans="1:17" ht="30" customHeight="1" x14ac:dyDescent="0.2">
      <c r="A68" s="78"/>
      <c r="B68" s="78"/>
      <c r="C68" s="78"/>
      <c r="D68" s="81">
        <f>ROUND(SUM(D65:D67),2)</f>
        <v>22.4</v>
      </c>
      <c r="E68" s="82">
        <v>50</v>
      </c>
      <c r="F68" s="82">
        <f>IF(G68&gt;1,ROUND(SUM(F65:F67)/G68*2,3),ROUND(SUM(F65:F67),3))</f>
        <v>2.1150000000000002</v>
      </c>
      <c r="G68" s="77">
        <v>3</v>
      </c>
      <c r="H68" s="78"/>
      <c r="I68" s="88">
        <f>ROUND(20-F68,3)</f>
        <v>17.885000000000002</v>
      </c>
      <c r="J68" s="78"/>
      <c r="K68" s="78"/>
      <c r="L68" s="78"/>
      <c r="M68" s="77" t="e">
        <f>AVERAGE(M65:M67)</f>
        <v>#DIV/0!</v>
      </c>
      <c r="N68" s="78"/>
      <c r="O68" s="78"/>
      <c r="P68" s="78"/>
      <c r="Q68" s="78"/>
    </row>
    <row r="69" spans="1:17" ht="30" customHeight="1" x14ac:dyDescent="0.15">
      <c r="A69" s="93" t="s">
        <v>51</v>
      </c>
      <c r="B69" s="85" t="s">
        <v>195</v>
      </c>
      <c r="C69" s="85">
        <v>77.88</v>
      </c>
      <c r="D69" s="86">
        <v>14.9</v>
      </c>
      <c r="E69" s="87">
        <v>19.053999999999998</v>
      </c>
      <c r="F69" s="87">
        <f>ROUND(E69/C69*G71,3)</f>
        <v>0.73399999999999999</v>
      </c>
      <c r="G69" s="85" t="s">
        <v>52</v>
      </c>
      <c r="H69" s="85" t="s">
        <v>50</v>
      </c>
      <c r="I69" s="87"/>
      <c r="J69" s="85"/>
      <c r="K69" s="85"/>
      <c r="L69" s="85" t="s">
        <v>196</v>
      </c>
      <c r="M69" s="77"/>
      <c r="N69" s="77">
        <v>77.88</v>
      </c>
      <c r="O69" s="77" t="s">
        <v>93</v>
      </c>
      <c r="P69" s="77" t="s">
        <v>94</v>
      </c>
      <c r="Q69" s="77" t="s">
        <v>95</v>
      </c>
    </row>
    <row r="70" spans="1:17" ht="30" customHeight="1" x14ac:dyDescent="0.15">
      <c r="A70" s="94"/>
      <c r="B70" s="85" t="s">
        <v>197</v>
      </c>
      <c r="C70" s="85">
        <v>83.15</v>
      </c>
      <c r="D70" s="86">
        <v>24.2</v>
      </c>
      <c r="E70" s="87">
        <v>30.946000000000002</v>
      </c>
      <c r="F70" s="87">
        <f>ROUND(E70/C70*G71,3)</f>
        <v>1.117</v>
      </c>
      <c r="G70" s="85" t="s">
        <v>52</v>
      </c>
      <c r="H70" s="85" t="s">
        <v>50</v>
      </c>
      <c r="I70" s="87"/>
      <c r="J70" s="85"/>
      <c r="K70" s="85"/>
      <c r="L70" s="85" t="s">
        <v>196</v>
      </c>
      <c r="M70" s="77"/>
      <c r="N70" s="77">
        <v>83.15</v>
      </c>
      <c r="O70" s="77" t="s">
        <v>93</v>
      </c>
      <c r="P70" s="77" t="s">
        <v>94</v>
      </c>
      <c r="Q70" s="77" t="s">
        <v>95</v>
      </c>
    </row>
    <row r="71" spans="1:17" ht="30" customHeight="1" x14ac:dyDescent="0.2">
      <c r="A71" s="78"/>
      <c r="B71" s="78"/>
      <c r="C71" s="78"/>
      <c r="D71" s="81">
        <f>ROUND(SUM(D69:D70),2)</f>
        <v>39.1</v>
      </c>
      <c r="E71" s="82">
        <v>50</v>
      </c>
      <c r="F71" s="82">
        <f>IF(G71&gt;1,ROUND(SUM(F69:F70)/G71*2,3),ROUND(SUM(F69:F70),3))</f>
        <v>1.234</v>
      </c>
      <c r="G71" s="77">
        <v>3</v>
      </c>
      <c r="H71" s="78"/>
      <c r="I71" s="88">
        <f>ROUND(20-F71,3)</f>
        <v>18.765999999999998</v>
      </c>
      <c r="J71" s="78"/>
      <c r="K71" s="78"/>
      <c r="L71" s="78"/>
      <c r="M71" s="77" t="e">
        <f>AVERAGE(M69:M70)</f>
        <v>#DIV/0!</v>
      </c>
      <c r="N71" s="78"/>
      <c r="O71" s="78"/>
      <c r="P71" s="78"/>
      <c r="Q71" s="78"/>
    </row>
    <row r="72" spans="1:17" ht="30" customHeight="1" x14ac:dyDescent="0.15">
      <c r="A72" s="93" t="s">
        <v>53</v>
      </c>
      <c r="B72" s="85" t="s">
        <v>198</v>
      </c>
      <c r="C72" s="85">
        <v>40.6</v>
      </c>
      <c r="D72" s="86">
        <v>120</v>
      </c>
      <c r="E72" s="87">
        <v>10</v>
      </c>
      <c r="F72" s="87">
        <f>ROUND(E72/C72*G77,3)</f>
        <v>0.73899999999999999</v>
      </c>
      <c r="G72" s="85" t="s">
        <v>52</v>
      </c>
      <c r="H72" s="85" t="s">
        <v>50</v>
      </c>
      <c r="I72" s="87"/>
      <c r="J72" s="85"/>
      <c r="K72" s="85"/>
      <c r="L72" s="85"/>
      <c r="M72" s="77"/>
      <c r="N72" s="77">
        <v>40.6</v>
      </c>
      <c r="O72" s="77" t="s">
        <v>93</v>
      </c>
      <c r="P72" s="77" t="s">
        <v>94</v>
      </c>
      <c r="Q72" s="77" t="s">
        <v>95</v>
      </c>
    </row>
    <row r="73" spans="1:17" ht="30" customHeight="1" x14ac:dyDescent="0.15">
      <c r="A73" s="95"/>
      <c r="B73" s="85" t="s">
        <v>199</v>
      </c>
      <c r="C73" s="85">
        <v>57.8</v>
      </c>
      <c r="D73" s="86">
        <v>120</v>
      </c>
      <c r="E73" s="87">
        <v>10</v>
      </c>
      <c r="F73" s="87">
        <f>ROUND(E73/C73*G77,3)</f>
        <v>0.51900000000000002</v>
      </c>
      <c r="G73" s="85" t="s">
        <v>52</v>
      </c>
      <c r="H73" s="85" t="s">
        <v>50</v>
      </c>
      <c r="I73" s="87"/>
      <c r="J73" s="85"/>
      <c r="K73" s="85"/>
      <c r="L73" s="85"/>
      <c r="M73" s="77"/>
      <c r="N73" s="77">
        <v>57.8</v>
      </c>
      <c r="O73" s="77" t="s">
        <v>93</v>
      </c>
      <c r="P73" s="77" t="s">
        <v>94</v>
      </c>
      <c r="Q73" s="77" t="s">
        <v>95</v>
      </c>
    </row>
    <row r="74" spans="1:17" ht="30" customHeight="1" x14ac:dyDescent="0.15">
      <c r="A74" s="95"/>
      <c r="B74" s="85" t="s">
        <v>200</v>
      </c>
      <c r="C74" s="85">
        <v>52.2</v>
      </c>
      <c r="D74" s="86">
        <v>120</v>
      </c>
      <c r="E74" s="87">
        <v>10</v>
      </c>
      <c r="F74" s="87">
        <f>ROUND(E74/C74*G77,3)</f>
        <v>0.57499999999999996</v>
      </c>
      <c r="G74" s="85" t="s">
        <v>52</v>
      </c>
      <c r="H74" s="85" t="s">
        <v>50</v>
      </c>
      <c r="I74" s="87"/>
      <c r="J74" s="85"/>
      <c r="K74" s="85"/>
      <c r="L74" s="85"/>
      <c r="M74" s="77"/>
      <c r="N74" s="77">
        <v>52.2</v>
      </c>
      <c r="O74" s="77" t="s">
        <v>93</v>
      </c>
      <c r="P74" s="77" t="s">
        <v>94</v>
      </c>
      <c r="Q74" s="77" t="s">
        <v>95</v>
      </c>
    </row>
    <row r="75" spans="1:17" ht="30" customHeight="1" x14ac:dyDescent="0.15">
      <c r="A75" s="95"/>
      <c r="B75" s="85" t="s">
        <v>201</v>
      </c>
      <c r="C75" s="85">
        <v>48</v>
      </c>
      <c r="D75" s="86">
        <v>120</v>
      </c>
      <c r="E75" s="87">
        <v>10</v>
      </c>
      <c r="F75" s="87">
        <f>ROUND(E75/C75*G77,3)</f>
        <v>0.625</v>
      </c>
      <c r="G75" s="85" t="s">
        <v>52</v>
      </c>
      <c r="H75" s="85" t="s">
        <v>50</v>
      </c>
      <c r="I75" s="87"/>
      <c r="J75" s="85"/>
      <c r="K75" s="85"/>
      <c r="L75" s="85"/>
      <c r="M75" s="77"/>
      <c r="N75" s="77">
        <v>48</v>
      </c>
      <c r="O75" s="77" t="s">
        <v>93</v>
      </c>
      <c r="P75" s="77" t="s">
        <v>94</v>
      </c>
      <c r="Q75" s="77" t="s">
        <v>95</v>
      </c>
    </row>
    <row r="76" spans="1:17" ht="30" customHeight="1" x14ac:dyDescent="0.15">
      <c r="A76" s="94"/>
      <c r="B76" s="85" t="s">
        <v>202</v>
      </c>
      <c r="C76" s="85">
        <v>34.4</v>
      </c>
      <c r="D76" s="86">
        <v>120</v>
      </c>
      <c r="E76" s="87">
        <v>10</v>
      </c>
      <c r="F76" s="87">
        <f>ROUND(E76/C76*G77,3)</f>
        <v>0.872</v>
      </c>
      <c r="G76" s="85" t="s">
        <v>52</v>
      </c>
      <c r="H76" s="85" t="s">
        <v>50</v>
      </c>
      <c r="I76" s="87"/>
      <c r="J76" s="85"/>
      <c r="K76" s="85"/>
      <c r="L76" s="85"/>
      <c r="M76" s="77"/>
      <c r="N76" s="77">
        <v>34.4</v>
      </c>
      <c r="O76" s="77" t="s">
        <v>93</v>
      </c>
      <c r="P76" s="77" t="s">
        <v>94</v>
      </c>
      <c r="Q76" s="77" t="s">
        <v>95</v>
      </c>
    </row>
    <row r="77" spans="1:17" ht="30" customHeight="1" x14ac:dyDescent="0.2">
      <c r="A77" s="78"/>
      <c r="B77" s="78"/>
      <c r="C77" s="78"/>
      <c r="D77" s="81">
        <f>ROUND(SUM(D72:D76),2)</f>
        <v>600</v>
      </c>
      <c r="E77" s="82">
        <v>50</v>
      </c>
      <c r="F77" s="82">
        <f>IF(G77&gt;1,ROUND(SUM(F72:F76)/G77*2,3),ROUND(SUM(F72:F76),3))</f>
        <v>2.2200000000000002</v>
      </c>
      <c r="G77" s="77">
        <v>3</v>
      </c>
      <c r="H77" s="78"/>
      <c r="I77" s="88">
        <f>ROUND(20-F77,3)</f>
        <v>17.78</v>
      </c>
      <c r="J77" s="78"/>
      <c r="K77" s="78"/>
      <c r="L77" s="78"/>
      <c r="M77" s="77" t="e">
        <f>AVERAGE(M72:M76)</f>
        <v>#DIV/0!</v>
      </c>
      <c r="N77" s="78"/>
      <c r="O77" s="78"/>
      <c r="P77" s="78"/>
      <c r="Q77" s="78"/>
    </row>
    <row r="78" spans="1:17" ht="30" customHeight="1" x14ac:dyDescent="0.15">
      <c r="A78" s="93" t="s">
        <v>54</v>
      </c>
      <c r="B78" s="85" t="s">
        <v>203</v>
      </c>
      <c r="C78" s="85">
        <v>93</v>
      </c>
      <c r="D78" s="86">
        <v>3.14</v>
      </c>
      <c r="E78" s="87">
        <v>8.7270000000000003</v>
      </c>
      <c r="F78" s="87">
        <f>ROUND(E78/C78*G82,3)</f>
        <v>0.56299999999999994</v>
      </c>
      <c r="G78" s="85" t="s">
        <v>55</v>
      </c>
      <c r="H78" s="85" t="s">
        <v>50</v>
      </c>
      <c r="I78" s="87"/>
      <c r="J78" s="85"/>
      <c r="K78" s="85"/>
      <c r="L78" s="85" t="s">
        <v>103</v>
      </c>
      <c r="M78" s="77"/>
      <c r="N78" s="77">
        <v>93</v>
      </c>
      <c r="O78" s="77"/>
      <c r="P78" s="77" t="s">
        <v>94</v>
      </c>
      <c r="Q78" s="77" t="s">
        <v>95</v>
      </c>
    </row>
    <row r="79" spans="1:17" ht="30" customHeight="1" x14ac:dyDescent="0.15">
      <c r="A79" s="95"/>
      <c r="B79" s="85" t="s">
        <v>204</v>
      </c>
      <c r="C79" s="85">
        <v>68.2</v>
      </c>
      <c r="D79" s="86">
        <v>5.34</v>
      </c>
      <c r="E79" s="87">
        <v>14.842000000000001</v>
      </c>
      <c r="F79" s="87">
        <f>ROUND(E79/C79*G82,3)</f>
        <v>1.306</v>
      </c>
      <c r="G79" s="85" t="s">
        <v>55</v>
      </c>
      <c r="H79" s="85" t="s">
        <v>50</v>
      </c>
      <c r="I79" s="87"/>
      <c r="J79" s="85"/>
      <c r="K79" s="85"/>
      <c r="L79" s="85" t="s">
        <v>103</v>
      </c>
      <c r="M79" s="77"/>
      <c r="N79" s="77">
        <v>68.2</v>
      </c>
      <c r="O79" s="77"/>
      <c r="P79" s="77" t="s">
        <v>94</v>
      </c>
      <c r="Q79" s="77" t="s">
        <v>95</v>
      </c>
    </row>
    <row r="80" spans="1:17" ht="30" customHeight="1" x14ac:dyDescent="0.15">
      <c r="A80" s="95"/>
      <c r="B80" s="85" t="s">
        <v>205</v>
      </c>
      <c r="C80" s="85">
        <v>58.8</v>
      </c>
      <c r="D80" s="86">
        <v>2.65</v>
      </c>
      <c r="E80" s="87">
        <v>7.3650000000000002</v>
      </c>
      <c r="F80" s="87">
        <f>ROUND(E80/C80*G82,3)</f>
        <v>0.752</v>
      </c>
      <c r="G80" s="85" t="s">
        <v>55</v>
      </c>
      <c r="H80" s="85" t="s">
        <v>50</v>
      </c>
      <c r="I80" s="87"/>
      <c r="J80" s="85"/>
      <c r="K80" s="85"/>
      <c r="L80" s="85" t="s">
        <v>103</v>
      </c>
      <c r="M80" s="77"/>
      <c r="N80" s="77">
        <v>58.8</v>
      </c>
      <c r="O80" s="77"/>
      <c r="P80" s="77" t="s">
        <v>94</v>
      </c>
      <c r="Q80" s="77" t="s">
        <v>95</v>
      </c>
    </row>
    <row r="81" spans="1:17" ht="30" customHeight="1" x14ac:dyDescent="0.15">
      <c r="A81" s="94"/>
      <c r="B81" s="85" t="s">
        <v>206</v>
      </c>
      <c r="C81" s="85">
        <v>49</v>
      </c>
      <c r="D81" s="86">
        <v>6.86</v>
      </c>
      <c r="E81" s="87">
        <v>19.065999999999999</v>
      </c>
      <c r="F81" s="87">
        <f>ROUND(E81/C81*G82,3)</f>
        <v>2.335</v>
      </c>
      <c r="G81" s="85" t="s">
        <v>55</v>
      </c>
      <c r="H81" s="85" t="s">
        <v>50</v>
      </c>
      <c r="I81" s="87"/>
      <c r="J81" s="85"/>
      <c r="K81" s="85"/>
      <c r="L81" s="85" t="s">
        <v>103</v>
      </c>
      <c r="M81" s="77"/>
      <c r="N81" s="77">
        <v>49</v>
      </c>
      <c r="O81" s="77"/>
      <c r="P81" s="77" t="s">
        <v>94</v>
      </c>
      <c r="Q81" s="77" t="s">
        <v>95</v>
      </c>
    </row>
    <row r="82" spans="1:17" ht="30" customHeight="1" x14ac:dyDescent="0.2">
      <c r="A82" s="78"/>
      <c r="B82" s="78"/>
      <c r="C82" s="78"/>
      <c r="D82" s="81">
        <f>ROUND(SUM(D78:D81),2)</f>
        <v>17.989999999999998</v>
      </c>
      <c r="E82" s="82">
        <v>50</v>
      </c>
      <c r="F82" s="82">
        <f>IF(G82&gt;1,ROUND(SUM(F78:F81)/G82*2,3),ROUND(SUM(F78:F81),3))</f>
        <v>1.6519999999999999</v>
      </c>
      <c r="G82" s="77">
        <v>6</v>
      </c>
      <c r="H82" s="78"/>
      <c r="I82" s="88">
        <f>ROUND(20-F82,3)</f>
        <v>18.347999999999999</v>
      </c>
      <c r="J82" s="78"/>
      <c r="K82" s="78"/>
      <c r="L82" s="78"/>
      <c r="M82" s="77" t="e">
        <f>AVERAGE(M78:M81)</f>
        <v>#DIV/0!</v>
      </c>
      <c r="N82" s="78"/>
      <c r="O82" s="78"/>
      <c r="P82" s="78"/>
      <c r="Q82" s="78"/>
    </row>
    <row r="83" spans="1:17" ht="30" customHeight="1" x14ac:dyDescent="0.15">
      <c r="A83" s="93" t="s">
        <v>56</v>
      </c>
      <c r="B83" s="85" t="s">
        <v>207</v>
      </c>
      <c r="C83" s="85">
        <v>38</v>
      </c>
      <c r="D83" s="86">
        <v>0.66</v>
      </c>
      <c r="E83" s="87">
        <v>0.32700000000000001</v>
      </c>
      <c r="F83" s="87">
        <f>ROUND(E83/C83*G185,3)</f>
        <v>1.0840000000000001</v>
      </c>
      <c r="G83" s="85" t="s">
        <v>57</v>
      </c>
      <c r="H83" s="85" t="s">
        <v>50</v>
      </c>
      <c r="I83" s="87"/>
      <c r="J83" s="85"/>
      <c r="K83" s="85"/>
      <c r="L83" s="85" t="s">
        <v>196</v>
      </c>
      <c r="M83" s="77"/>
      <c r="N83" s="77">
        <v>38</v>
      </c>
      <c r="O83" s="77"/>
      <c r="P83" s="77" t="s">
        <v>94</v>
      </c>
      <c r="Q83" s="77" t="s">
        <v>95</v>
      </c>
    </row>
    <row r="84" spans="1:17" ht="30" customHeight="1" x14ac:dyDescent="0.15">
      <c r="A84" s="95"/>
      <c r="B84" s="85" t="s">
        <v>208</v>
      </c>
      <c r="C84" s="85">
        <v>38.29</v>
      </c>
      <c r="D84" s="86">
        <v>1.26</v>
      </c>
      <c r="E84" s="87">
        <v>0.624</v>
      </c>
      <c r="F84" s="87">
        <f>ROUND(E84/C84*G185,3)</f>
        <v>2.0529999999999999</v>
      </c>
      <c r="G84" s="85" t="s">
        <v>57</v>
      </c>
      <c r="H84" s="85" t="s">
        <v>50</v>
      </c>
      <c r="I84" s="87"/>
      <c r="J84" s="85"/>
      <c r="K84" s="85"/>
      <c r="L84" s="85" t="s">
        <v>196</v>
      </c>
      <c r="M84" s="77"/>
      <c r="N84" s="77">
        <v>38.29</v>
      </c>
      <c r="O84" s="77"/>
      <c r="P84" s="77" t="s">
        <v>94</v>
      </c>
      <c r="Q84" s="77" t="s">
        <v>95</v>
      </c>
    </row>
    <row r="85" spans="1:17" ht="30" customHeight="1" x14ac:dyDescent="0.15">
      <c r="A85" s="95"/>
      <c r="B85" s="85" t="s">
        <v>209</v>
      </c>
      <c r="C85" s="85">
        <v>33.020000000000003</v>
      </c>
      <c r="D85" s="86">
        <v>0.75</v>
      </c>
      <c r="E85" s="87">
        <v>0.371</v>
      </c>
      <c r="F85" s="87">
        <f>ROUND(E85/C85*G185,3)</f>
        <v>1.4159999999999999</v>
      </c>
      <c r="G85" s="85" t="s">
        <v>57</v>
      </c>
      <c r="H85" s="85" t="s">
        <v>50</v>
      </c>
      <c r="I85" s="87"/>
      <c r="J85" s="85"/>
      <c r="K85" s="85"/>
      <c r="L85" s="85" t="s">
        <v>196</v>
      </c>
      <c r="M85" s="77"/>
      <c r="N85" s="77">
        <v>33.020000000000003</v>
      </c>
      <c r="O85" s="77"/>
      <c r="P85" s="77" t="s">
        <v>94</v>
      </c>
      <c r="Q85" s="77" t="s">
        <v>95</v>
      </c>
    </row>
    <row r="86" spans="1:17" ht="30" customHeight="1" x14ac:dyDescent="0.15">
      <c r="A86" s="95"/>
      <c r="B86" s="85" t="s">
        <v>210</v>
      </c>
      <c r="C86" s="85">
        <v>42.24</v>
      </c>
      <c r="D86" s="86">
        <v>1.25</v>
      </c>
      <c r="E86" s="87">
        <v>0.61899999999999999</v>
      </c>
      <c r="F86" s="87">
        <f>ROUND(E86/C86*G185,3)</f>
        <v>1.8460000000000001</v>
      </c>
      <c r="G86" s="85" t="s">
        <v>57</v>
      </c>
      <c r="H86" s="85" t="s">
        <v>50</v>
      </c>
      <c r="I86" s="87"/>
      <c r="J86" s="85"/>
      <c r="K86" s="85"/>
      <c r="L86" s="85" t="s">
        <v>196</v>
      </c>
      <c r="M86" s="77"/>
      <c r="N86" s="77">
        <v>42.24</v>
      </c>
      <c r="O86" s="77"/>
      <c r="P86" s="77" t="s">
        <v>94</v>
      </c>
      <c r="Q86" s="77" t="s">
        <v>95</v>
      </c>
    </row>
    <row r="87" spans="1:17" ht="30" customHeight="1" x14ac:dyDescent="0.15">
      <c r="A87" s="95"/>
      <c r="B87" s="85" t="s">
        <v>211</v>
      </c>
      <c r="C87" s="85">
        <v>34.47</v>
      </c>
      <c r="D87" s="86">
        <v>0.81</v>
      </c>
      <c r="E87" s="87">
        <v>0.40100000000000002</v>
      </c>
      <c r="F87" s="87">
        <f>ROUND(E87/C87*G185,3)</f>
        <v>1.466</v>
      </c>
      <c r="G87" s="85" t="s">
        <v>57</v>
      </c>
      <c r="H87" s="85" t="s">
        <v>50</v>
      </c>
      <c r="I87" s="87"/>
      <c r="J87" s="85"/>
      <c r="K87" s="85"/>
      <c r="L87" s="85" t="s">
        <v>196</v>
      </c>
      <c r="M87" s="77"/>
      <c r="N87" s="77">
        <v>34.47</v>
      </c>
      <c r="O87" s="77"/>
      <c r="P87" s="77" t="s">
        <v>94</v>
      </c>
      <c r="Q87" s="77" t="s">
        <v>95</v>
      </c>
    </row>
    <row r="88" spans="1:17" ht="30" customHeight="1" x14ac:dyDescent="0.15">
      <c r="A88" s="95"/>
      <c r="B88" s="85" t="s">
        <v>212</v>
      </c>
      <c r="C88" s="85">
        <v>31.45</v>
      </c>
      <c r="D88" s="86">
        <v>0.9</v>
      </c>
      <c r="E88" s="87">
        <v>0.44600000000000001</v>
      </c>
      <c r="F88" s="87">
        <f>ROUND(E88/C88*G185,3)</f>
        <v>1.7869999999999999</v>
      </c>
      <c r="G88" s="85" t="s">
        <v>57</v>
      </c>
      <c r="H88" s="85" t="s">
        <v>50</v>
      </c>
      <c r="I88" s="87"/>
      <c r="J88" s="85"/>
      <c r="K88" s="85"/>
      <c r="L88" s="85" t="s">
        <v>196</v>
      </c>
      <c r="M88" s="77"/>
      <c r="N88" s="77">
        <v>31.45</v>
      </c>
      <c r="O88" s="77"/>
      <c r="P88" s="77" t="s">
        <v>94</v>
      </c>
      <c r="Q88" s="77" t="s">
        <v>95</v>
      </c>
    </row>
    <row r="89" spans="1:17" ht="30" customHeight="1" x14ac:dyDescent="0.15">
      <c r="A89" s="95"/>
      <c r="B89" s="85" t="s">
        <v>213</v>
      </c>
      <c r="C89" s="85">
        <v>33.67</v>
      </c>
      <c r="D89" s="86">
        <v>0.77</v>
      </c>
      <c r="E89" s="87">
        <v>0.38100000000000001</v>
      </c>
      <c r="F89" s="87">
        <f>ROUND(E89/C89*G185,3)</f>
        <v>1.4259999999999999</v>
      </c>
      <c r="G89" s="85" t="s">
        <v>57</v>
      </c>
      <c r="H89" s="85" t="s">
        <v>50</v>
      </c>
      <c r="I89" s="87"/>
      <c r="J89" s="85"/>
      <c r="K89" s="85"/>
      <c r="L89" s="85" t="s">
        <v>196</v>
      </c>
      <c r="M89" s="77"/>
      <c r="N89" s="77">
        <v>33.67</v>
      </c>
      <c r="O89" s="77"/>
      <c r="P89" s="77" t="s">
        <v>94</v>
      </c>
      <c r="Q89" s="77" t="s">
        <v>95</v>
      </c>
    </row>
    <row r="90" spans="1:17" ht="30" customHeight="1" x14ac:dyDescent="0.15">
      <c r="A90" s="95"/>
      <c r="B90" s="85" t="s">
        <v>214</v>
      </c>
      <c r="C90" s="85">
        <v>42.1</v>
      </c>
      <c r="D90" s="86">
        <v>0.93</v>
      </c>
      <c r="E90" s="87">
        <v>0.46100000000000002</v>
      </c>
      <c r="F90" s="87">
        <f>ROUND(E90/C90*G185,3)</f>
        <v>1.38</v>
      </c>
      <c r="G90" s="85" t="s">
        <v>57</v>
      </c>
      <c r="H90" s="85" t="s">
        <v>50</v>
      </c>
      <c r="I90" s="87"/>
      <c r="J90" s="85"/>
      <c r="K90" s="85"/>
      <c r="L90" s="85" t="s">
        <v>196</v>
      </c>
      <c r="M90" s="77"/>
      <c r="N90" s="77">
        <v>42.1</v>
      </c>
      <c r="O90" s="77"/>
      <c r="P90" s="77" t="s">
        <v>94</v>
      </c>
      <c r="Q90" s="77" t="s">
        <v>95</v>
      </c>
    </row>
    <row r="91" spans="1:17" ht="30" customHeight="1" x14ac:dyDescent="0.15">
      <c r="A91" s="95"/>
      <c r="B91" s="85" t="s">
        <v>215</v>
      </c>
      <c r="C91" s="85">
        <v>43.96</v>
      </c>
      <c r="D91" s="86">
        <v>1.08</v>
      </c>
      <c r="E91" s="87">
        <v>0.53500000000000003</v>
      </c>
      <c r="F91" s="87">
        <f>ROUND(E91/C91*G185,3)</f>
        <v>1.5329999999999999</v>
      </c>
      <c r="G91" s="85" t="s">
        <v>57</v>
      </c>
      <c r="H91" s="85" t="s">
        <v>50</v>
      </c>
      <c r="I91" s="87"/>
      <c r="J91" s="85"/>
      <c r="K91" s="85"/>
      <c r="L91" s="85" t="s">
        <v>196</v>
      </c>
      <c r="M91" s="77"/>
      <c r="N91" s="77">
        <v>43.96</v>
      </c>
      <c r="O91" s="77"/>
      <c r="P91" s="77" t="s">
        <v>94</v>
      </c>
      <c r="Q91" s="77" t="s">
        <v>95</v>
      </c>
    </row>
    <row r="92" spans="1:17" ht="30" customHeight="1" x14ac:dyDescent="0.15">
      <c r="A92" s="95"/>
      <c r="B92" s="85" t="s">
        <v>216</v>
      </c>
      <c r="C92" s="85">
        <v>43.69</v>
      </c>
      <c r="D92" s="86">
        <v>0.73</v>
      </c>
      <c r="E92" s="87">
        <v>0.36199999999999999</v>
      </c>
      <c r="F92" s="87">
        <f>ROUND(E92/C92*G185,3)</f>
        <v>1.044</v>
      </c>
      <c r="G92" s="85" t="s">
        <v>57</v>
      </c>
      <c r="H92" s="85" t="s">
        <v>50</v>
      </c>
      <c r="I92" s="87"/>
      <c r="J92" s="85"/>
      <c r="K92" s="85"/>
      <c r="L92" s="85" t="s">
        <v>196</v>
      </c>
      <c r="M92" s="77"/>
      <c r="N92" s="77">
        <v>43.69</v>
      </c>
      <c r="O92" s="77"/>
      <c r="P92" s="77" t="s">
        <v>94</v>
      </c>
      <c r="Q92" s="77" t="s">
        <v>95</v>
      </c>
    </row>
    <row r="93" spans="1:17" ht="30" customHeight="1" x14ac:dyDescent="0.15">
      <c r="A93" s="95"/>
      <c r="B93" s="85" t="s">
        <v>217</v>
      </c>
      <c r="C93" s="85">
        <v>31.98</v>
      </c>
      <c r="D93" s="86">
        <v>0.89</v>
      </c>
      <c r="E93" s="87">
        <v>0.441</v>
      </c>
      <c r="F93" s="87">
        <f>ROUND(E93/C93*G185,3)</f>
        <v>1.738</v>
      </c>
      <c r="G93" s="85" t="s">
        <v>57</v>
      </c>
      <c r="H93" s="85" t="s">
        <v>50</v>
      </c>
      <c r="I93" s="87"/>
      <c r="J93" s="85"/>
      <c r="K93" s="85"/>
      <c r="L93" s="85" t="s">
        <v>196</v>
      </c>
      <c r="M93" s="77"/>
      <c r="N93" s="77">
        <v>31.98</v>
      </c>
      <c r="O93" s="77"/>
      <c r="P93" s="77" t="s">
        <v>94</v>
      </c>
      <c r="Q93" s="77" t="s">
        <v>95</v>
      </c>
    </row>
    <row r="94" spans="1:17" ht="30" customHeight="1" x14ac:dyDescent="0.15">
      <c r="A94" s="95"/>
      <c r="B94" s="85" t="s">
        <v>218</v>
      </c>
      <c r="C94" s="85">
        <v>42.53</v>
      </c>
      <c r="D94" s="86">
        <v>0.8</v>
      </c>
      <c r="E94" s="87">
        <v>0.39600000000000002</v>
      </c>
      <c r="F94" s="87">
        <f>ROUND(E94/C94*G185,3)</f>
        <v>1.173</v>
      </c>
      <c r="G94" s="85" t="s">
        <v>57</v>
      </c>
      <c r="H94" s="85" t="s">
        <v>50</v>
      </c>
      <c r="I94" s="87"/>
      <c r="J94" s="85"/>
      <c r="K94" s="85"/>
      <c r="L94" s="85" t="s">
        <v>196</v>
      </c>
      <c r="M94" s="77"/>
      <c r="N94" s="77">
        <v>42.53</v>
      </c>
      <c r="O94" s="77"/>
      <c r="P94" s="77" t="s">
        <v>94</v>
      </c>
      <c r="Q94" s="77" t="s">
        <v>95</v>
      </c>
    </row>
    <row r="95" spans="1:17" ht="30" customHeight="1" x14ac:dyDescent="0.15">
      <c r="A95" s="95"/>
      <c r="B95" s="85" t="s">
        <v>219</v>
      </c>
      <c r="C95" s="85">
        <v>38.299999999999997</v>
      </c>
      <c r="D95" s="86">
        <v>0.93</v>
      </c>
      <c r="E95" s="87">
        <v>0.46100000000000002</v>
      </c>
      <c r="F95" s="87">
        <f>ROUND(E95/C95*G185,3)</f>
        <v>1.5169999999999999</v>
      </c>
      <c r="G95" s="85" t="s">
        <v>57</v>
      </c>
      <c r="H95" s="85" t="s">
        <v>50</v>
      </c>
      <c r="I95" s="87"/>
      <c r="J95" s="85"/>
      <c r="K95" s="85"/>
      <c r="L95" s="85" t="s">
        <v>196</v>
      </c>
      <c r="M95" s="77"/>
      <c r="N95" s="77">
        <v>38.299999999999997</v>
      </c>
      <c r="O95" s="77"/>
      <c r="P95" s="77" t="s">
        <v>94</v>
      </c>
      <c r="Q95" s="77" t="s">
        <v>95</v>
      </c>
    </row>
    <row r="96" spans="1:17" ht="30" customHeight="1" x14ac:dyDescent="0.15">
      <c r="A96" s="95"/>
      <c r="B96" s="85" t="s">
        <v>220</v>
      </c>
      <c r="C96" s="85">
        <v>39.520000000000003</v>
      </c>
      <c r="D96" s="86">
        <v>1.1100000000000001</v>
      </c>
      <c r="E96" s="87">
        <v>0.55000000000000004</v>
      </c>
      <c r="F96" s="87">
        <f>ROUND(E96/C96*G185,3)</f>
        <v>1.754</v>
      </c>
      <c r="G96" s="85" t="s">
        <v>57</v>
      </c>
      <c r="H96" s="85" t="s">
        <v>50</v>
      </c>
      <c r="I96" s="87"/>
      <c r="J96" s="85"/>
      <c r="K96" s="85"/>
      <c r="L96" s="85" t="s">
        <v>196</v>
      </c>
      <c r="M96" s="77"/>
      <c r="N96" s="77">
        <v>39.520000000000003</v>
      </c>
      <c r="O96" s="77"/>
      <c r="P96" s="77" t="s">
        <v>94</v>
      </c>
      <c r="Q96" s="77" t="s">
        <v>95</v>
      </c>
    </row>
    <row r="97" spans="1:17" ht="30" customHeight="1" x14ac:dyDescent="0.15">
      <c r="A97" s="95"/>
      <c r="B97" s="85" t="s">
        <v>221</v>
      </c>
      <c r="C97" s="85">
        <v>35.61</v>
      </c>
      <c r="D97" s="86">
        <v>0.78</v>
      </c>
      <c r="E97" s="87">
        <v>0.38600000000000001</v>
      </c>
      <c r="F97" s="87">
        <f>ROUND(E97/C97*G185,3)</f>
        <v>1.3660000000000001</v>
      </c>
      <c r="G97" s="85" t="s">
        <v>57</v>
      </c>
      <c r="H97" s="85" t="s">
        <v>50</v>
      </c>
      <c r="I97" s="87"/>
      <c r="J97" s="85"/>
      <c r="K97" s="85"/>
      <c r="L97" s="85" t="s">
        <v>196</v>
      </c>
      <c r="M97" s="77"/>
      <c r="N97" s="77">
        <v>35.61</v>
      </c>
      <c r="O97" s="77"/>
      <c r="P97" s="77" t="s">
        <v>94</v>
      </c>
      <c r="Q97" s="77" t="s">
        <v>95</v>
      </c>
    </row>
    <row r="98" spans="1:17" ht="30" customHeight="1" x14ac:dyDescent="0.15">
      <c r="A98" s="95"/>
      <c r="B98" s="85" t="s">
        <v>222</v>
      </c>
      <c r="C98" s="85">
        <v>40.39</v>
      </c>
      <c r="D98" s="86">
        <v>1</v>
      </c>
      <c r="E98" s="87">
        <v>0.495</v>
      </c>
      <c r="F98" s="87">
        <f>ROUND(E98/C98*G185,3)</f>
        <v>1.544</v>
      </c>
      <c r="G98" s="85" t="s">
        <v>57</v>
      </c>
      <c r="H98" s="85" t="s">
        <v>50</v>
      </c>
      <c r="I98" s="87"/>
      <c r="J98" s="85"/>
      <c r="K98" s="85"/>
      <c r="L98" s="85" t="s">
        <v>196</v>
      </c>
      <c r="M98" s="77"/>
      <c r="N98" s="77">
        <v>40.39</v>
      </c>
      <c r="O98" s="77"/>
      <c r="P98" s="77" t="s">
        <v>94</v>
      </c>
      <c r="Q98" s="77" t="s">
        <v>95</v>
      </c>
    </row>
    <row r="99" spans="1:17" ht="30" customHeight="1" x14ac:dyDescent="0.15">
      <c r="A99" s="95"/>
      <c r="B99" s="85" t="s">
        <v>223</v>
      </c>
      <c r="C99" s="85">
        <v>39.520000000000003</v>
      </c>
      <c r="D99" s="86">
        <v>1.18</v>
      </c>
      <c r="E99" s="87">
        <v>0.58399999999999996</v>
      </c>
      <c r="F99" s="87">
        <f>ROUND(E99/C99*G185,3)</f>
        <v>1.8620000000000001</v>
      </c>
      <c r="G99" s="85" t="s">
        <v>57</v>
      </c>
      <c r="H99" s="85" t="s">
        <v>50</v>
      </c>
      <c r="I99" s="87"/>
      <c r="J99" s="85"/>
      <c r="K99" s="85"/>
      <c r="L99" s="85" t="s">
        <v>196</v>
      </c>
      <c r="M99" s="77"/>
      <c r="N99" s="77">
        <v>39.520000000000003</v>
      </c>
      <c r="O99" s="77"/>
      <c r="P99" s="77" t="s">
        <v>94</v>
      </c>
      <c r="Q99" s="77" t="s">
        <v>95</v>
      </c>
    </row>
    <row r="100" spans="1:17" ht="30" customHeight="1" x14ac:dyDescent="0.15">
      <c r="A100" s="95"/>
      <c r="B100" s="85" t="s">
        <v>224</v>
      </c>
      <c r="C100" s="85">
        <v>36.799999999999997</v>
      </c>
      <c r="D100" s="86">
        <v>1.1100000000000001</v>
      </c>
      <c r="E100" s="87">
        <v>0.55000000000000004</v>
      </c>
      <c r="F100" s="87">
        <f>ROUND(E100/C100*G185,3)</f>
        <v>1.883</v>
      </c>
      <c r="G100" s="85" t="s">
        <v>57</v>
      </c>
      <c r="H100" s="85" t="s">
        <v>50</v>
      </c>
      <c r="I100" s="87"/>
      <c r="J100" s="85"/>
      <c r="K100" s="85"/>
      <c r="L100" s="85" t="s">
        <v>196</v>
      </c>
      <c r="M100" s="77"/>
      <c r="N100" s="77">
        <v>36.799999999999997</v>
      </c>
      <c r="O100" s="77"/>
      <c r="P100" s="77" t="s">
        <v>94</v>
      </c>
      <c r="Q100" s="77" t="s">
        <v>95</v>
      </c>
    </row>
    <row r="101" spans="1:17" ht="30" customHeight="1" x14ac:dyDescent="0.15">
      <c r="A101" s="95"/>
      <c r="B101" s="85" t="s">
        <v>225</v>
      </c>
      <c r="C101" s="85">
        <v>41.19</v>
      </c>
      <c r="D101" s="86">
        <v>1.08</v>
      </c>
      <c r="E101" s="87">
        <v>0.53500000000000003</v>
      </c>
      <c r="F101" s="87">
        <f>ROUND(E101/C101*G185,3)</f>
        <v>1.637</v>
      </c>
      <c r="G101" s="85" t="s">
        <v>57</v>
      </c>
      <c r="H101" s="85" t="s">
        <v>50</v>
      </c>
      <c r="I101" s="87"/>
      <c r="J101" s="85"/>
      <c r="K101" s="85"/>
      <c r="L101" s="85" t="s">
        <v>196</v>
      </c>
      <c r="M101" s="77"/>
      <c r="N101" s="77">
        <v>41.19</v>
      </c>
      <c r="O101" s="77"/>
      <c r="P101" s="77" t="s">
        <v>94</v>
      </c>
      <c r="Q101" s="77" t="s">
        <v>95</v>
      </c>
    </row>
    <row r="102" spans="1:17" ht="30" customHeight="1" x14ac:dyDescent="0.15">
      <c r="A102" s="95"/>
      <c r="B102" s="85" t="s">
        <v>226</v>
      </c>
      <c r="C102" s="85">
        <v>51.75</v>
      </c>
      <c r="D102" s="86">
        <v>1.02</v>
      </c>
      <c r="E102" s="87">
        <v>0.505</v>
      </c>
      <c r="F102" s="87">
        <f>ROUND(E102/C102*G185,3)</f>
        <v>1.23</v>
      </c>
      <c r="G102" s="85" t="s">
        <v>57</v>
      </c>
      <c r="H102" s="85" t="s">
        <v>50</v>
      </c>
      <c r="I102" s="87"/>
      <c r="J102" s="85"/>
      <c r="K102" s="85"/>
      <c r="L102" s="85" t="s">
        <v>196</v>
      </c>
      <c r="M102" s="77"/>
      <c r="N102" s="77">
        <v>51.75</v>
      </c>
      <c r="O102" s="77"/>
      <c r="P102" s="77" t="s">
        <v>94</v>
      </c>
      <c r="Q102" s="77" t="s">
        <v>95</v>
      </c>
    </row>
    <row r="103" spans="1:17" ht="30" customHeight="1" x14ac:dyDescent="0.15">
      <c r="A103" s="95"/>
      <c r="B103" s="85" t="s">
        <v>227</v>
      </c>
      <c r="C103" s="85">
        <v>38.83</v>
      </c>
      <c r="D103" s="86">
        <v>1.07</v>
      </c>
      <c r="E103" s="87">
        <v>0.53</v>
      </c>
      <c r="F103" s="87">
        <f>ROUND(E103/C103*G185,3)</f>
        <v>1.72</v>
      </c>
      <c r="G103" s="85" t="s">
        <v>57</v>
      </c>
      <c r="H103" s="85" t="s">
        <v>50</v>
      </c>
      <c r="I103" s="87"/>
      <c r="J103" s="85"/>
      <c r="K103" s="85"/>
      <c r="L103" s="85" t="s">
        <v>196</v>
      </c>
      <c r="M103" s="77"/>
      <c r="N103" s="77">
        <v>38.83</v>
      </c>
      <c r="O103" s="77"/>
      <c r="P103" s="77" t="s">
        <v>94</v>
      </c>
      <c r="Q103" s="77" t="s">
        <v>95</v>
      </c>
    </row>
    <row r="104" spans="1:17" ht="30" customHeight="1" x14ac:dyDescent="0.15">
      <c r="A104" s="95"/>
      <c r="B104" s="85" t="s">
        <v>228</v>
      </c>
      <c r="C104" s="85">
        <v>86.38</v>
      </c>
      <c r="D104" s="86">
        <v>2.29</v>
      </c>
      <c r="E104" s="87">
        <v>1.1339999999999999</v>
      </c>
      <c r="F104" s="87">
        <f>ROUND(E104/C104*G185,3)</f>
        <v>1.6539999999999999</v>
      </c>
      <c r="G104" s="85" t="s">
        <v>57</v>
      </c>
      <c r="H104" s="85" t="s">
        <v>50</v>
      </c>
      <c r="I104" s="87"/>
      <c r="J104" s="85"/>
      <c r="K104" s="85"/>
      <c r="L104" s="85" t="s">
        <v>196</v>
      </c>
      <c r="M104" s="77"/>
      <c r="N104" s="77">
        <v>86.38</v>
      </c>
      <c r="O104" s="77"/>
      <c r="P104" s="77" t="s">
        <v>94</v>
      </c>
      <c r="Q104" s="77" t="s">
        <v>95</v>
      </c>
    </row>
    <row r="105" spans="1:17" ht="30" customHeight="1" x14ac:dyDescent="0.15">
      <c r="A105" s="95"/>
      <c r="B105" s="85" t="s">
        <v>229</v>
      </c>
      <c r="C105" s="85">
        <v>45.39</v>
      </c>
      <c r="D105" s="86">
        <v>1.32</v>
      </c>
      <c r="E105" s="87">
        <v>0.65400000000000003</v>
      </c>
      <c r="F105" s="87">
        <f>ROUND(E105/C105*G185,3)</f>
        <v>1.8149999999999999</v>
      </c>
      <c r="G105" s="85" t="s">
        <v>57</v>
      </c>
      <c r="H105" s="85" t="s">
        <v>50</v>
      </c>
      <c r="I105" s="87"/>
      <c r="J105" s="85"/>
      <c r="K105" s="85"/>
      <c r="L105" s="85" t="s">
        <v>196</v>
      </c>
      <c r="M105" s="77"/>
      <c r="N105" s="77">
        <v>45.39</v>
      </c>
      <c r="O105" s="77"/>
      <c r="P105" s="77" t="s">
        <v>94</v>
      </c>
      <c r="Q105" s="77" t="s">
        <v>95</v>
      </c>
    </row>
    <row r="106" spans="1:17" ht="30" customHeight="1" x14ac:dyDescent="0.15">
      <c r="A106" s="95"/>
      <c r="B106" s="85" t="s">
        <v>230</v>
      </c>
      <c r="C106" s="85">
        <v>46.04</v>
      </c>
      <c r="D106" s="86">
        <v>0.88</v>
      </c>
      <c r="E106" s="87">
        <v>0.436</v>
      </c>
      <c r="F106" s="87">
        <f>ROUND(E106/C106*G185,3)</f>
        <v>1.1930000000000001</v>
      </c>
      <c r="G106" s="85" t="s">
        <v>57</v>
      </c>
      <c r="H106" s="85" t="s">
        <v>50</v>
      </c>
      <c r="I106" s="87"/>
      <c r="J106" s="85"/>
      <c r="K106" s="85"/>
      <c r="L106" s="85" t="s">
        <v>196</v>
      </c>
      <c r="M106" s="77"/>
      <c r="N106" s="77">
        <v>46.04</v>
      </c>
      <c r="O106" s="77"/>
      <c r="P106" s="77" t="s">
        <v>94</v>
      </c>
      <c r="Q106" s="77" t="s">
        <v>95</v>
      </c>
    </row>
    <row r="107" spans="1:17" ht="30" customHeight="1" x14ac:dyDescent="0.15">
      <c r="A107" s="95"/>
      <c r="B107" s="85" t="s">
        <v>231</v>
      </c>
      <c r="C107" s="85">
        <v>45.7</v>
      </c>
      <c r="D107" s="86">
        <v>1.1100000000000001</v>
      </c>
      <c r="E107" s="87">
        <v>0.55000000000000004</v>
      </c>
      <c r="F107" s="87">
        <f>ROUND(E107/C107*G185,3)</f>
        <v>1.516</v>
      </c>
      <c r="G107" s="85" t="s">
        <v>57</v>
      </c>
      <c r="H107" s="85" t="s">
        <v>50</v>
      </c>
      <c r="I107" s="87"/>
      <c r="J107" s="85"/>
      <c r="K107" s="85"/>
      <c r="L107" s="85" t="s">
        <v>196</v>
      </c>
      <c r="M107" s="77"/>
      <c r="N107" s="77">
        <v>45.7</v>
      </c>
      <c r="O107" s="77"/>
      <c r="P107" s="77" t="s">
        <v>94</v>
      </c>
      <c r="Q107" s="77" t="s">
        <v>95</v>
      </c>
    </row>
    <row r="108" spans="1:17" ht="30" customHeight="1" x14ac:dyDescent="0.15">
      <c r="A108" s="95"/>
      <c r="B108" s="85" t="s">
        <v>232</v>
      </c>
      <c r="C108" s="85">
        <v>60.49</v>
      </c>
      <c r="D108" s="86">
        <v>1.67</v>
      </c>
      <c r="E108" s="87">
        <v>0.82699999999999996</v>
      </c>
      <c r="F108" s="87">
        <f>ROUND(E108/C108*G185,3)</f>
        <v>1.7230000000000001</v>
      </c>
      <c r="G108" s="85" t="s">
        <v>57</v>
      </c>
      <c r="H108" s="85" t="s">
        <v>50</v>
      </c>
      <c r="I108" s="87"/>
      <c r="J108" s="85"/>
      <c r="K108" s="85"/>
      <c r="L108" s="85" t="s">
        <v>196</v>
      </c>
      <c r="M108" s="77"/>
      <c r="N108" s="77">
        <v>60.49</v>
      </c>
      <c r="O108" s="77"/>
      <c r="P108" s="77" t="s">
        <v>94</v>
      </c>
      <c r="Q108" s="77" t="s">
        <v>95</v>
      </c>
    </row>
    <row r="109" spans="1:17" ht="30" customHeight="1" x14ac:dyDescent="0.15">
      <c r="A109" s="95"/>
      <c r="B109" s="85" t="s">
        <v>233</v>
      </c>
      <c r="C109" s="85">
        <v>49.95</v>
      </c>
      <c r="D109" s="86">
        <v>1.4</v>
      </c>
      <c r="E109" s="87">
        <v>0.69299999999999995</v>
      </c>
      <c r="F109" s="87">
        <f>ROUND(E109/C109*G185,3)</f>
        <v>1.748</v>
      </c>
      <c r="G109" s="85" t="s">
        <v>57</v>
      </c>
      <c r="H109" s="85" t="s">
        <v>50</v>
      </c>
      <c r="I109" s="87"/>
      <c r="J109" s="85"/>
      <c r="K109" s="85"/>
      <c r="L109" s="85" t="s">
        <v>196</v>
      </c>
      <c r="M109" s="77"/>
      <c r="N109" s="77">
        <v>49.95</v>
      </c>
      <c r="O109" s="77"/>
      <c r="P109" s="77" t="s">
        <v>94</v>
      </c>
      <c r="Q109" s="77" t="s">
        <v>95</v>
      </c>
    </row>
    <row r="110" spans="1:17" ht="30" customHeight="1" x14ac:dyDescent="0.15">
      <c r="A110" s="95"/>
      <c r="B110" s="85" t="s">
        <v>234</v>
      </c>
      <c r="C110" s="85">
        <v>49.01</v>
      </c>
      <c r="D110" s="86">
        <v>1.1100000000000001</v>
      </c>
      <c r="E110" s="87">
        <v>0.55000000000000004</v>
      </c>
      <c r="F110" s="87">
        <f>ROUND(E110/C110*G185,3)</f>
        <v>1.4139999999999999</v>
      </c>
      <c r="G110" s="85" t="s">
        <v>57</v>
      </c>
      <c r="H110" s="85" t="s">
        <v>50</v>
      </c>
      <c r="I110" s="87"/>
      <c r="J110" s="85"/>
      <c r="K110" s="85"/>
      <c r="L110" s="85" t="s">
        <v>196</v>
      </c>
      <c r="M110" s="77"/>
      <c r="N110" s="77">
        <v>49.01</v>
      </c>
      <c r="O110" s="77"/>
      <c r="P110" s="77" t="s">
        <v>94</v>
      </c>
      <c r="Q110" s="77" t="s">
        <v>95</v>
      </c>
    </row>
    <row r="111" spans="1:17" ht="30" customHeight="1" x14ac:dyDescent="0.15">
      <c r="A111" s="95"/>
      <c r="B111" s="85" t="s">
        <v>235</v>
      </c>
      <c r="C111" s="85">
        <v>47.68</v>
      </c>
      <c r="D111" s="86">
        <v>0.71</v>
      </c>
      <c r="E111" s="87">
        <v>0.35199999999999998</v>
      </c>
      <c r="F111" s="87">
        <f>ROUND(E111/C111*G185,3)</f>
        <v>0.93</v>
      </c>
      <c r="G111" s="85" t="s">
        <v>57</v>
      </c>
      <c r="H111" s="85" t="s">
        <v>50</v>
      </c>
      <c r="I111" s="87"/>
      <c r="J111" s="85"/>
      <c r="K111" s="85"/>
      <c r="L111" s="85" t="s">
        <v>196</v>
      </c>
      <c r="M111" s="77"/>
      <c r="N111" s="77">
        <v>47.68</v>
      </c>
      <c r="O111" s="77"/>
      <c r="P111" s="77" t="s">
        <v>94</v>
      </c>
      <c r="Q111" s="77" t="s">
        <v>95</v>
      </c>
    </row>
    <row r="112" spans="1:17" ht="30" customHeight="1" x14ac:dyDescent="0.15">
      <c r="A112" s="95"/>
      <c r="B112" s="85" t="s">
        <v>236</v>
      </c>
      <c r="C112" s="85">
        <v>54.14</v>
      </c>
      <c r="D112" s="86">
        <v>0.69</v>
      </c>
      <c r="E112" s="87">
        <v>0.34200000000000003</v>
      </c>
      <c r="F112" s="87">
        <f>ROUND(E112/C112*G185,3)</f>
        <v>0.79600000000000004</v>
      </c>
      <c r="G112" s="85" t="s">
        <v>57</v>
      </c>
      <c r="H112" s="85" t="s">
        <v>50</v>
      </c>
      <c r="I112" s="87"/>
      <c r="J112" s="85"/>
      <c r="K112" s="85"/>
      <c r="L112" s="85" t="s">
        <v>196</v>
      </c>
      <c r="M112" s="77"/>
      <c r="N112" s="77">
        <v>54.14</v>
      </c>
      <c r="O112" s="77"/>
      <c r="P112" s="77" t="s">
        <v>94</v>
      </c>
      <c r="Q112" s="77" t="s">
        <v>95</v>
      </c>
    </row>
    <row r="113" spans="1:17" ht="30" customHeight="1" x14ac:dyDescent="0.15">
      <c r="A113" s="95"/>
      <c r="B113" s="85" t="s">
        <v>237</v>
      </c>
      <c r="C113" s="85">
        <v>44.38</v>
      </c>
      <c r="D113" s="86">
        <v>1.18</v>
      </c>
      <c r="E113" s="87">
        <v>0.58399999999999996</v>
      </c>
      <c r="F113" s="87">
        <f>ROUND(E113/C113*G185,3)</f>
        <v>1.6579999999999999</v>
      </c>
      <c r="G113" s="85" t="s">
        <v>57</v>
      </c>
      <c r="H113" s="85" t="s">
        <v>50</v>
      </c>
      <c r="I113" s="87"/>
      <c r="J113" s="85"/>
      <c r="K113" s="85"/>
      <c r="L113" s="85" t="s">
        <v>196</v>
      </c>
      <c r="M113" s="77"/>
      <c r="N113" s="77">
        <v>44.38</v>
      </c>
      <c r="O113" s="77"/>
      <c r="P113" s="77" t="s">
        <v>94</v>
      </c>
      <c r="Q113" s="77" t="s">
        <v>95</v>
      </c>
    </row>
    <row r="114" spans="1:17" ht="30" customHeight="1" x14ac:dyDescent="0.15">
      <c r="A114" s="95"/>
      <c r="B114" s="85" t="s">
        <v>238</v>
      </c>
      <c r="C114" s="85">
        <v>46.56</v>
      </c>
      <c r="D114" s="86">
        <v>1.1299999999999999</v>
      </c>
      <c r="E114" s="87">
        <v>0.56000000000000005</v>
      </c>
      <c r="F114" s="87">
        <f>ROUND(E114/C114*G185,3)</f>
        <v>1.5149999999999999</v>
      </c>
      <c r="G114" s="85" t="s">
        <v>57</v>
      </c>
      <c r="H114" s="85" t="s">
        <v>50</v>
      </c>
      <c r="I114" s="87"/>
      <c r="J114" s="85"/>
      <c r="K114" s="85"/>
      <c r="L114" s="85" t="s">
        <v>196</v>
      </c>
      <c r="M114" s="77"/>
      <c r="N114" s="77">
        <v>46.56</v>
      </c>
      <c r="O114" s="77"/>
      <c r="P114" s="77" t="s">
        <v>94</v>
      </c>
      <c r="Q114" s="77" t="s">
        <v>95</v>
      </c>
    </row>
    <row r="115" spans="1:17" ht="30" customHeight="1" x14ac:dyDescent="0.15">
      <c r="A115" s="95"/>
      <c r="B115" s="85" t="s">
        <v>239</v>
      </c>
      <c r="C115" s="85">
        <v>37.04</v>
      </c>
      <c r="D115" s="86">
        <v>0.69</v>
      </c>
      <c r="E115" s="87">
        <v>0.34200000000000003</v>
      </c>
      <c r="F115" s="87">
        <f>ROUND(E115/C115*G185,3)</f>
        <v>1.163</v>
      </c>
      <c r="G115" s="85" t="s">
        <v>57</v>
      </c>
      <c r="H115" s="85" t="s">
        <v>50</v>
      </c>
      <c r="I115" s="87"/>
      <c r="J115" s="85"/>
      <c r="K115" s="85"/>
      <c r="L115" s="85" t="s">
        <v>196</v>
      </c>
      <c r="M115" s="77"/>
      <c r="N115" s="77">
        <v>37.04</v>
      </c>
      <c r="O115" s="77"/>
      <c r="P115" s="77" t="s">
        <v>94</v>
      </c>
      <c r="Q115" s="77" t="s">
        <v>95</v>
      </c>
    </row>
    <row r="116" spans="1:17" ht="30" customHeight="1" x14ac:dyDescent="0.15">
      <c r="A116" s="95"/>
      <c r="B116" s="85" t="s">
        <v>240</v>
      </c>
      <c r="C116" s="85">
        <v>54.73</v>
      </c>
      <c r="D116" s="86">
        <v>0.65</v>
      </c>
      <c r="E116" s="87">
        <v>0.32200000000000001</v>
      </c>
      <c r="F116" s="87">
        <f>ROUND(E116/C116*G185,3)</f>
        <v>0.74099999999999999</v>
      </c>
      <c r="G116" s="85" t="s">
        <v>57</v>
      </c>
      <c r="H116" s="85" t="s">
        <v>50</v>
      </c>
      <c r="I116" s="87"/>
      <c r="J116" s="85"/>
      <c r="K116" s="85"/>
      <c r="L116" s="85" t="s">
        <v>196</v>
      </c>
      <c r="M116" s="77"/>
      <c r="N116" s="77">
        <v>54.73</v>
      </c>
      <c r="O116" s="77"/>
      <c r="P116" s="77" t="s">
        <v>94</v>
      </c>
      <c r="Q116" s="77" t="s">
        <v>95</v>
      </c>
    </row>
    <row r="117" spans="1:17" ht="30" customHeight="1" x14ac:dyDescent="0.15">
      <c r="A117" s="95"/>
      <c r="B117" s="85" t="s">
        <v>241</v>
      </c>
      <c r="C117" s="85">
        <v>57.86</v>
      </c>
      <c r="D117" s="86">
        <v>1.02</v>
      </c>
      <c r="E117" s="87">
        <v>0.505</v>
      </c>
      <c r="F117" s="87">
        <f>ROUND(E117/C117*G185,3)</f>
        <v>1.1000000000000001</v>
      </c>
      <c r="G117" s="85" t="s">
        <v>57</v>
      </c>
      <c r="H117" s="85" t="s">
        <v>50</v>
      </c>
      <c r="I117" s="87"/>
      <c r="J117" s="85"/>
      <c r="K117" s="85"/>
      <c r="L117" s="85" t="s">
        <v>196</v>
      </c>
      <c r="M117" s="77"/>
      <c r="N117" s="77">
        <v>57.86</v>
      </c>
      <c r="O117" s="77"/>
      <c r="P117" s="77" t="s">
        <v>94</v>
      </c>
      <c r="Q117" s="77" t="s">
        <v>95</v>
      </c>
    </row>
    <row r="118" spans="1:17" ht="30" customHeight="1" x14ac:dyDescent="0.15">
      <c r="A118" s="95"/>
      <c r="B118" s="85" t="s">
        <v>242</v>
      </c>
      <c r="C118" s="85">
        <v>56.82</v>
      </c>
      <c r="D118" s="86">
        <v>0.72</v>
      </c>
      <c r="E118" s="87">
        <v>0.35699999999999998</v>
      </c>
      <c r="F118" s="87">
        <f>ROUND(E118/C118*G185,3)</f>
        <v>0.79200000000000004</v>
      </c>
      <c r="G118" s="85" t="s">
        <v>57</v>
      </c>
      <c r="H118" s="85" t="s">
        <v>50</v>
      </c>
      <c r="I118" s="87"/>
      <c r="J118" s="85"/>
      <c r="K118" s="85"/>
      <c r="L118" s="85" t="s">
        <v>196</v>
      </c>
      <c r="M118" s="77"/>
      <c r="N118" s="77">
        <v>56.82</v>
      </c>
      <c r="O118" s="77"/>
      <c r="P118" s="77" t="s">
        <v>94</v>
      </c>
      <c r="Q118" s="77" t="s">
        <v>95</v>
      </c>
    </row>
    <row r="119" spans="1:17" ht="30" customHeight="1" x14ac:dyDescent="0.15">
      <c r="A119" s="95"/>
      <c r="B119" s="85" t="s">
        <v>243</v>
      </c>
      <c r="C119" s="85">
        <v>48.89</v>
      </c>
      <c r="D119" s="86">
        <v>0.64</v>
      </c>
      <c r="E119" s="87">
        <v>0.317</v>
      </c>
      <c r="F119" s="87">
        <f>ROUND(E119/C119*G185,3)</f>
        <v>0.81699999999999995</v>
      </c>
      <c r="G119" s="85" t="s">
        <v>57</v>
      </c>
      <c r="H119" s="85" t="s">
        <v>50</v>
      </c>
      <c r="I119" s="87"/>
      <c r="J119" s="85"/>
      <c r="K119" s="85"/>
      <c r="L119" s="85" t="s">
        <v>196</v>
      </c>
      <c r="M119" s="77"/>
      <c r="N119" s="77">
        <v>48.89</v>
      </c>
      <c r="O119" s="77"/>
      <c r="P119" s="77" t="s">
        <v>94</v>
      </c>
      <c r="Q119" s="77" t="s">
        <v>95</v>
      </c>
    </row>
    <row r="120" spans="1:17" ht="30" customHeight="1" x14ac:dyDescent="0.15">
      <c r="A120" s="95"/>
      <c r="B120" s="85" t="s">
        <v>244</v>
      </c>
      <c r="C120" s="85">
        <v>68.53</v>
      </c>
      <c r="D120" s="86">
        <v>1.42</v>
      </c>
      <c r="E120" s="87">
        <v>0.70299999999999996</v>
      </c>
      <c r="F120" s="87">
        <f>ROUND(E120/C120*G185,3)</f>
        <v>1.2929999999999999</v>
      </c>
      <c r="G120" s="85" t="s">
        <v>57</v>
      </c>
      <c r="H120" s="85" t="s">
        <v>50</v>
      </c>
      <c r="I120" s="87"/>
      <c r="J120" s="85"/>
      <c r="K120" s="85"/>
      <c r="L120" s="85" t="s">
        <v>196</v>
      </c>
      <c r="M120" s="77"/>
      <c r="N120" s="77">
        <v>68.53</v>
      </c>
      <c r="O120" s="77"/>
      <c r="P120" s="77" t="s">
        <v>94</v>
      </c>
      <c r="Q120" s="77" t="s">
        <v>95</v>
      </c>
    </row>
    <row r="121" spans="1:17" ht="30" customHeight="1" x14ac:dyDescent="0.15">
      <c r="A121" s="95"/>
      <c r="B121" s="85" t="s">
        <v>245</v>
      </c>
      <c r="C121" s="85">
        <v>48.53</v>
      </c>
      <c r="D121" s="86">
        <v>0.83</v>
      </c>
      <c r="E121" s="87">
        <v>0.41099999999999998</v>
      </c>
      <c r="F121" s="87">
        <f>ROUND(E121/C121*G185,3)</f>
        <v>1.0669999999999999</v>
      </c>
      <c r="G121" s="85" t="s">
        <v>57</v>
      </c>
      <c r="H121" s="85" t="s">
        <v>50</v>
      </c>
      <c r="I121" s="87"/>
      <c r="J121" s="85"/>
      <c r="K121" s="85"/>
      <c r="L121" s="85" t="s">
        <v>196</v>
      </c>
      <c r="M121" s="77"/>
      <c r="N121" s="77">
        <v>48.53</v>
      </c>
      <c r="O121" s="77"/>
      <c r="P121" s="77" t="s">
        <v>94</v>
      </c>
      <c r="Q121" s="77" t="s">
        <v>95</v>
      </c>
    </row>
    <row r="122" spans="1:17" ht="30" customHeight="1" x14ac:dyDescent="0.15">
      <c r="A122" s="95"/>
      <c r="B122" s="85" t="s">
        <v>246</v>
      </c>
      <c r="C122" s="85">
        <v>54.82</v>
      </c>
      <c r="D122" s="86">
        <v>0.75</v>
      </c>
      <c r="E122" s="87">
        <v>0.371</v>
      </c>
      <c r="F122" s="87">
        <f>ROUND(E122/C122*G185,3)</f>
        <v>0.85299999999999998</v>
      </c>
      <c r="G122" s="85" t="s">
        <v>57</v>
      </c>
      <c r="H122" s="85" t="s">
        <v>50</v>
      </c>
      <c r="I122" s="87"/>
      <c r="J122" s="85"/>
      <c r="K122" s="85"/>
      <c r="L122" s="85" t="s">
        <v>196</v>
      </c>
      <c r="M122" s="77"/>
      <c r="N122" s="77">
        <v>54.82</v>
      </c>
      <c r="O122" s="77"/>
      <c r="P122" s="77" t="s">
        <v>94</v>
      </c>
      <c r="Q122" s="77" t="s">
        <v>95</v>
      </c>
    </row>
    <row r="123" spans="1:17" ht="30" customHeight="1" x14ac:dyDescent="0.15">
      <c r="A123" s="95"/>
      <c r="B123" s="85" t="s">
        <v>247</v>
      </c>
      <c r="C123" s="85">
        <v>42.1</v>
      </c>
      <c r="D123" s="86">
        <v>0.65</v>
      </c>
      <c r="E123" s="87">
        <v>0.32200000000000001</v>
      </c>
      <c r="F123" s="87">
        <f>ROUND(E123/C123*G185,3)</f>
        <v>0.96399999999999997</v>
      </c>
      <c r="G123" s="85" t="s">
        <v>57</v>
      </c>
      <c r="H123" s="85" t="s">
        <v>50</v>
      </c>
      <c r="I123" s="87"/>
      <c r="J123" s="85"/>
      <c r="K123" s="85"/>
      <c r="L123" s="85" t="s">
        <v>196</v>
      </c>
      <c r="M123" s="77"/>
      <c r="N123" s="77">
        <v>42.1</v>
      </c>
      <c r="O123" s="77"/>
      <c r="P123" s="77" t="s">
        <v>94</v>
      </c>
      <c r="Q123" s="77" t="s">
        <v>95</v>
      </c>
    </row>
    <row r="124" spans="1:17" ht="30" customHeight="1" x14ac:dyDescent="0.15">
      <c r="A124" s="95"/>
      <c r="B124" s="85" t="s">
        <v>248</v>
      </c>
      <c r="C124" s="85">
        <v>60.72</v>
      </c>
      <c r="D124" s="86">
        <v>1.24</v>
      </c>
      <c r="E124" s="87">
        <v>0.61399999999999999</v>
      </c>
      <c r="F124" s="87">
        <f>ROUND(E124/C124*G185,3)</f>
        <v>1.274</v>
      </c>
      <c r="G124" s="85" t="s">
        <v>57</v>
      </c>
      <c r="H124" s="85" t="s">
        <v>50</v>
      </c>
      <c r="I124" s="87"/>
      <c r="J124" s="85"/>
      <c r="K124" s="85"/>
      <c r="L124" s="85" t="s">
        <v>196</v>
      </c>
      <c r="M124" s="77"/>
      <c r="N124" s="77">
        <v>60.72</v>
      </c>
      <c r="O124" s="77"/>
      <c r="P124" s="77" t="s">
        <v>94</v>
      </c>
      <c r="Q124" s="77" t="s">
        <v>95</v>
      </c>
    </row>
    <row r="125" spans="1:17" ht="30" customHeight="1" x14ac:dyDescent="0.15">
      <c r="A125" s="95"/>
      <c r="B125" s="85" t="s">
        <v>249</v>
      </c>
      <c r="C125" s="85">
        <v>50.89</v>
      </c>
      <c r="D125" s="86">
        <v>0.74</v>
      </c>
      <c r="E125" s="87">
        <v>0.36599999999999999</v>
      </c>
      <c r="F125" s="87">
        <f>ROUND(E125/C125*G185,3)</f>
        <v>0.90600000000000003</v>
      </c>
      <c r="G125" s="85" t="s">
        <v>57</v>
      </c>
      <c r="H125" s="85" t="s">
        <v>50</v>
      </c>
      <c r="I125" s="87"/>
      <c r="J125" s="85"/>
      <c r="K125" s="85"/>
      <c r="L125" s="85" t="s">
        <v>196</v>
      </c>
      <c r="M125" s="77"/>
      <c r="N125" s="77">
        <v>50.89</v>
      </c>
      <c r="O125" s="77"/>
      <c r="P125" s="77" t="s">
        <v>94</v>
      </c>
      <c r="Q125" s="77" t="s">
        <v>95</v>
      </c>
    </row>
    <row r="126" spans="1:17" ht="30" customHeight="1" x14ac:dyDescent="0.15">
      <c r="A126" s="95"/>
      <c r="B126" s="85" t="s">
        <v>250</v>
      </c>
      <c r="C126" s="85">
        <v>43.78</v>
      </c>
      <c r="D126" s="86">
        <v>0.89</v>
      </c>
      <c r="E126" s="87">
        <v>0.441</v>
      </c>
      <c r="F126" s="87">
        <f>ROUND(E126/C126*G185,3)</f>
        <v>1.2689999999999999</v>
      </c>
      <c r="G126" s="85" t="s">
        <v>57</v>
      </c>
      <c r="H126" s="85" t="s">
        <v>50</v>
      </c>
      <c r="I126" s="87"/>
      <c r="J126" s="85"/>
      <c r="K126" s="85"/>
      <c r="L126" s="85" t="s">
        <v>196</v>
      </c>
      <c r="M126" s="77"/>
      <c r="N126" s="77">
        <v>43.78</v>
      </c>
      <c r="O126" s="77"/>
      <c r="P126" s="77" t="s">
        <v>94</v>
      </c>
      <c r="Q126" s="77" t="s">
        <v>95</v>
      </c>
    </row>
    <row r="127" spans="1:17" ht="30" customHeight="1" x14ac:dyDescent="0.15">
      <c r="A127" s="95"/>
      <c r="B127" s="85" t="s">
        <v>251</v>
      </c>
      <c r="C127" s="85">
        <v>44.87</v>
      </c>
      <c r="D127" s="86">
        <v>0.82</v>
      </c>
      <c r="E127" s="87">
        <v>0.40600000000000003</v>
      </c>
      <c r="F127" s="87">
        <f>ROUND(E127/C127*G185,3)</f>
        <v>1.1399999999999999</v>
      </c>
      <c r="G127" s="85" t="s">
        <v>57</v>
      </c>
      <c r="H127" s="85" t="s">
        <v>50</v>
      </c>
      <c r="I127" s="87"/>
      <c r="J127" s="85"/>
      <c r="K127" s="85"/>
      <c r="L127" s="85" t="s">
        <v>196</v>
      </c>
      <c r="M127" s="77"/>
      <c r="N127" s="77">
        <v>44.87</v>
      </c>
      <c r="O127" s="77"/>
      <c r="P127" s="77" t="s">
        <v>94</v>
      </c>
      <c r="Q127" s="77" t="s">
        <v>95</v>
      </c>
    </row>
    <row r="128" spans="1:17" ht="30" customHeight="1" x14ac:dyDescent="0.15">
      <c r="A128" s="95"/>
      <c r="B128" s="85" t="s">
        <v>252</v>
      </c>
      <c r="C128" s="85">
        <v>41.98</v>
      </c>
      <c r="D128" s="86">
        <v>1.28</v>
      </c>
      <c r="E128" s="87">
        <v>0.63400000000000001</v>
      </c>
      <c r="F128" s="87">
        <f>ROUND(E128/C128*G185,3)</f>
        <v>1.903</v>
      </c>
      <c r="G128" s="85" t="s">
        <v>57</v>
      </c>
      <c r="H128" s="85" t="s">
        <v>50</v>
      </c>
      <c r="I128" s="87"/>
      <c r="J128" s="85"/>
      <c r="K128" s="85"/>
      <c r="L128" s="85" t="s">
        <v>196</v>
      </c>
      <c r="M128" s="77"/>
      <c r="N128" s="77">
        <v>41.98</v>
      </c>
      <c r="O128" s="77"/>
      <c r="P128" s="77" t="s">
        <v>94</v>
      </c>
      <c r="Q128" s="77" t="s">
        <v>95</v>
      </c>
    </row>
    <row r="129" spans="1:17" ht="30" customHeight="1" x14ac:dyDescent="0.15">
      <c r="A129" s="95"/>
      <c r="B129" s="85" t="s">
        <v>253</v>
      </c>
      <c r="C129" s="85">
        <v>39.43</v>
      </c>
      <c r="D129" s="86">
        <v>1.1299999999999999</v>
      </c>
      <c r="E129" s="87">
        <v>0.56000000000000005</v>
      </c>
      <c r="F129" s="87">
        <f>ROUND(E129/C129*G185,3)</f>
        <v>1.79</v>
      </c>
      <c r="G129" s="85" t="s">
        <v>57</v>
      </c>
      <c r="H129" s="85" t="s">
        <v>50</v>
      </c>
      <c r="I129" s="87"/>
      <c r="J129" s="85"/>
      <c r="K129" s="85"/>
      <c r="L129" s="85" t="s">
        <v>196</v>
      </c>
      <c r="M129" s="77"/>
      <c r="N129" s="77">
        <v>39.43</v>
      </c>
      <c r="O129" s="77"/>
      <c r="P129" s="77" t="s">
        <v>94</v>
      </c>
      <c r="Q129" s="77" t="s">
        <v>95</v>
      </c>
    </row>
    <row r="130" spans="1:17" ht="30" customHeight="1" x14ac:dyDescent="0.15">
      <c r="A130" s="95"/>
      <c r="B130" s="85" t="s">
        <v>254</v>
      </c>
      <c r="C130" s="85">
        <v>36.24</v>
      </c>
      <c r="D130" s="86">
        <v>0.69</v>
      </c>
      <c r="E130" s="87">
        <v>0.34200000000000003</v>
      </c>
      <c r="F130" s="87">
        <f>ROUND(E130/C130*G185,3)</f>
        <v>1.1890000000000001</v>
      </c>
      <c r="G130" s="85" t="s">
        <v>57</v>
      </c>
      <c r="H130" s="85" t="s">
        <v>50</v>
      </c>
      <c r="I130" s="87"/>
      <c r="J130" s="85"/>
      <c r="K130" s="85"/>
      <c r="L130" s="85" t="s">
        <v>196</v>
      </c>
      <c r="M130" s="77"/>
      <c r="N130" s="77">
        <v>36.24</v>
      </c>
      <c r="O130" s="77"/>
      <c r="P130" s="77" t="s">
        <v>94</v>
      </c>
      <c r="Q130" s="77" t="s">
        <v>95</v>
      </c>
    </row>
    <row r="131" spans="1:17" ht="30" customHeight="1" x14ac:dyDescent="0.15">
      <c r="A131" s="95"/>
      <c r="B131" s="85" t="s">
        <v>255</v>
      </c>
      <c r="C131" s="85">
        <v>47.04</v>
      </c>
      <c r="D131" s="86">
        <v>1.24</v>
      </c>
      <c r="E131" s="87">
        <v>0.61399999999999999</v>
      </c>
      <c r="F131" s="87">
        <f>ROUND(E131/C131*G185,3)</f>
        <v>1.645</v>
      </c>
      <c r="G131" s="85" t="s">
        <v>57</v>
      </c>
      <c r="H131" s="85" t="s">
        <v>50</v>
      </c>
      <c r="I131" s="87"/>
      <c r="J131" s="85"/>
      <c r="K131" s="85"/>
      <c r="L131" s="85" t="s">
        <v>196</v>
      </c>
      <c r="M131" s="77"/>
      <c r="N131" s="77">
        <v>47.04</v>
      </c>
      <c r="O131" s="77"/>
      <c r="P131" s="77" t="s">
        <v>94</v>
      </c>
      <c r="Q131" s="77" t="s">
        <v>95</v>
      </c>
    </row>
    <row r="132" spans="1:17" ht="30" customHeight="1" x14ac:dyDescent="0.15">
      <c r="A132" s="95"/>
      <c r="B132" s="85" t="s">
        <v>256</v>
      </c>
      <c r="C132" s="85">
        <v>37.01</v>
      </c>
      <c r="D132" s="86">
        <v>1.0900000000000001</v>
      </c>
      <c r="E132" s="87">
        <v>0.54</v>
      </c>
      <c r="F132" s="87">
        <f>ROUND(E132/C132*G185,3)</f>
        <v>1.8380000000000001</v>
      </c>
      <c r="G132" s="85" t="s">
        <v>57</v>
      </c>
      <c r="H132" s="85" t="s">
        <v>50</v>
      </c>
      <c r="I132" s="87"/>
      <c r="J132" s="85"/>
      <c r="K132" s="85"/>
      <c r="L132" s="85" t="s">
        <v>196</v>
      </c>
      <c r="M132" s="77"/>
      <c r="N132" s="77">
        <v>37.01</v>
      </c>
      <c r="O132" s="77"/>
      <c r="P132" s="77" t="s">
        <v>94</v>
      </c>
      <c r="Q132" s="77" t="s">
        <v>95</v>
      </c>
    </row>
    <row r="133" spans="1:17" ht="30" customHeight="1" x14ac:dyDescent="0.15">
      <c r="A133" s="95"/>
      <c r="B133" s="85" t="s">
        <v>257</v>
      </c>
      <c r="C133" s="85">
        <v>46.01</v>
      </c>
      <c r="D133" s="86">
        <v>1.19</v>
      </c>
      <c r="E133" s="87">
        <v>0.58899999999999997</v>
      </c>
      <c r="F133" s="87">
        <f>ROUND(E133/C133*G185,3)</f>
        <v>1.613</v>
      </c>
      <c r="G133" s="85" t="s">
        <v>57</v>
      </c>
      <c r="H133" s="85" t="s">
        <v>50</v>
      </c>
      <c r="I133" s="87"/>
      <c r="J133" s="85"/>
      <c r="K133" s="85"/>
      <c r="L133" s="85" t="s">
        <v>196</v>
      </c>
      <c r="M133" s="77"/>
      <c r="N133" s="77">
        <v>46.01</v>
      </c>
      <c r="O133" s="77"/>
      <c r="P133" s="77" t="s">
        <v>94</v>
      </c>
      <c r="Q133" s="77" t="s">
        <v>95</v>
      </c>
    </row>
    <row r="134" spans="1:17" ht="30" customHeight="1" x14ac:dyDescent="0.15">
      <c r="A134" s="95"/>
      <c r="B134" s="85" t="s">
        <v>258</v>
      </c>
      <c r="C134" s="85">
        <v>36.200000000000003</v>
      </c>
      <c r="D134" s="86">
        <v>0.65</v>
      </c>
      <c r="E134" s="87">
        <v>0.32200000000000001</v>
      </c>
      <c r="F134" s="87">
        <f>ROUND(E134/C134*G185,3)</f>
        <v>1.121</v>
      </c>
      <c r="G134" s="85" t="s">
        <v>57</v>
      </c>
      <c r="H134" s="85" t="s">
        <v>50</v>
      </c>
      <c r="I134" s="87"/>
      <c r="J134" s="85"/>
      <c r="K134" s="85"/>
      <c r="L134" s="85" t="s">
        <v>196</v>
      </c>
      <c r="M134" s="77"/>
      <c r="N134" s="77">
        <v>36.200000000000003</v>
      </c>
      <c r="O134" s="77"/>
      <c r="P134" s="77" t="s">
        <v>94</v>
      </c>
      <c r="Q134" s="77" t="s">
        <v>95</v>
      </c>
    </row>
    <row r="135" spans="1:17" ht="30" customHeight="1" x14ac:dyDescent="0.15">
      <c r="A135" s="95"/>
      <c r="B135" s="85" t="s">
        <v>259</v>
      </c>
      <c r="C135" s="85">
        <v>49.87</v>
      </c>
      <c r="D135" s="86">
        <v>0.95</v>
      </c>
      <c r="E135" s="87">
        <v>0.47</v>
      </c>
      <c r="F135" s="87">
        <f>ROUND(E135/C135*G185,3)</f>
        <v>1.1870000000000001</v>
      </c>
      <c r="G135" s="85" t="s">
        <v>57</v>
      </c>
      <c r="H135" s="85" t="s">
        <v>50</v>
      </c>
      <c r="I135" s="87"/>
      <c r="J135" s="85"/>
      <c r="K135" s="85"/>
      <c r="L135" s="85" t="s">
        <v>196</v>
      </c>
      <c r="M135" s="77"/>
      <c r="N135" s="77">
        <v>49.87</v>
      </c>
      <c r="O135" s="77"/>
      <c r="P135" s="77" t="s">
        <v>94</v>
      </c>
      <c r="Q135" s="77" t="s">
        <v>95</v>
      </c>
    </row>
    <row r="136" spans="1:17" ht="30" customHeight="1" x14ac:dyDescent="0.15">
      <c r="A136" s="95"/>
      <c r="B136" s="85" t="s">
        <v>260</v>
      </c>
      <c r="C136" s="85">
        <v>42.3</v>
      </c>
      <c r="D136" s="86">
        <v>1.38</v>
      </c>
      <c r="E136" s="87">
        <v>0.68300000000000005</v>
      </c>
      <c r="F136" s="87">
        <f>ROUND(E136/C136*G185,3)</f>
        <v>2.0339999999999998</v>
      </c>
      <c r="G136" s="85" t="s">
        <v>57</v>
      </c>
      <c r="H136" s="85" t="s">
        <v>50</v>
      </c>
      <c r="I136" s="87"/>
      <c r="J136" s="85"/>
      <c r="K136" s="85"/>
      <c r="L136" s="85" t="s">
        <v>196</v>
      </c>
      <c r="M136" s="77"/>
      <c r="N136" s="77">
        <v>42.3</v>
      </c>
      <c r="O136" s="77"/>
      <c r="P136" s="77" t="s">
        <v>94</v>
      </c>
      <c r="Q136" s="77" t="s">
        <v>95</v>
      </c>
    </row>
    <row r="137" spans="1:17" ht="30" customHeight="1" x14ac:dyDescent="0.15">
      <c r="A137" s="95"/>
      <c r="B137" s="85" t="s">
        <v>261</v>
      </c>
      <c r="C137" s="85">
        <v>61.1</v>
      </c>
      <c r="D137" s="86">
        <v>0.75</v>
      </c>
      <c r="E137" s="87">
        <v>0.371</v>
      </c>
      <c r="F137" s="87">
        <f>ROUND(E137/C137*G185,3)</f>
        <v>0.76500000000000001</v>
      </c>
      <c r="G137" s="85" t="s">
        <v>57</v>
      </c>
      <c r="H137" s="85" t="s">
        <v>50</v>
      </c>
      <c r="I137" s="87"/>
      <c r="J137" s="85"/>
      <c r="K137" s="85"/>
      <c r="L137" s="85" t="s">
        <v>196</v>
      </c>
      <c r="M137" s="77"/>
      <c r="N137" s="77">
        <v>61.1</v>
      </c>
      <c r="O137" s="77"/>
      <c r="P137" s="77" t="s">
        <v>94</v>
      </c>
      <c r="Q137" s="77" t="s">
        <v>95</v>
      </c>
    </row>
    <row r="138" spans="1:17" ht="30" customHeight="1" x14ac:dyDescent="0.15">
      <c r="A138" s="95"/>
      <c r="B138" s="85" t="s">
        <v>262</v>
      </c>
      <c r="C138" s="85">
        <v>52.29</v>
      </c>
      <c r="D138" s="86">
        <v>1.5</v>
      </c>
      <c r="E138" s="87">
        <v>0.74299999999999999</v>
      </c>
      <c r="F138" s="87">
        <f>ROUND(E138/C138*G185,3)</f>
        <v>1.79</v>
      </c>
      <c r="G138" s="85" t="s">
        <v>57</v>
      </c>
      <c r="H138" s="85" t="s">
        <v>50</v>
      </c>
      <c r="I138" s="87"/>
      <c r="J138" s="85"/>
      <c r="K138" s="85"/>
      <c r="L138" s="85" t="s">
        <v>196</v>
      </c>
      <c r="M138" s="77"/>
      <c r="N138" s="77">
        <v>52.29</v>
      </c>
      <c r="O138" s="77"/>
      <c r="P138" s="77" t="s">
        <v>94</v>
      </c>
      <c r="Q138" s="77" t="s">
        <v>95</v>
      </c>
    </row>
    <row r="139" spans="1:17" ht="30" customHeight="1" x14ac:dyDescent="0.15">
      <c r="A139" s="95"/>
      <c r="B139" s="85" t="s">
        <v>263</v>
      </c>
      <c r="C139" s="85">
        <v>61.27</v>
      </c>
      <c r="D139" s="86">
        <v>0.98</v>
      </c>
      <c r="E139" s="87">
        <v>0.48499999999999999</v>
      </c>
      <c r="F139" s="87">
        <f>ROUND(E139/C139*G185,3)</f>
        <v>0.997</v>
      </c>
      <c r="G139" s="85" t="s">
        <v>57</v>
      </c>
      <c r="H139" s="85" t="s">
        <v>50</v>
      </c>
      <c r="I139" s="87"/>
      <c r="J139" s="85"/>
      <c r="K139" s="85"/>
      <c r="L139" s="85" t="s">
        <v>196</v>
      </c>
      <c r="M139" s="77"/>
      <c r="N139" s="77">
        <v>61.27</v>
      </c>
      <c r="O139" s="77"/>
      <c r="P139" s="77" t="s">
        <v>94</v>
      </c>
      <c r="Q139" s="77" t="s">
        <v>95</v>
      </c>
    </row>
    <row r="140" spans="1:17" ht="30" customHeight="1" x14ac:dyDescent="0.15">
      <c r="A140" s="95"/>
      <c r="B140" s="85" t="s">
        <v>264</v>
      </c>
      <c r="C140" s="85">
        <v>44.154000000000003</v>
      </c>
      <c r="D140" s="86">
        <v>1</v>
      </c>
      <c r="E140" s="87">
        <v>0.495</v>
      </c>
      <c r="F140" s="87">
        <f>ROUND(E140/C140*G185,3)</f>
        <v>1.413</v>
      </c>
      <c r="G140" s="85" t="s">
        <v>57</v>
      </c>
      <c r="H140" s="85" t="s">
        <v>50</v>
      </c>
      <c r="I140" s="87"/>
      <c r="J140" s="85"/>
      <c r="K140" s="85"/>
      <c r="L140" s="85" t="s">
        <v>196</v>
      </c>
      <c r="M140" s="77"/>
      <c r="N140" s="77">
        <v>44.154000000000003</v>
      </c>
      <c r="O140" s="77"/>
      <c r="P140" s="77" t="s">
        <v>94</v>
      </c>
      <c r="Q140" s="77" t="s">
        <v>95</v>
      </c>
    </row>
    <row r="141" spans="1:17" ht="30" customHeight="1" x14ac:dyDescent="0.15">
      <c r="A141" s="95"/>
      <c r="B141" s="85" t="s">
        <v>265</v>
      </c>
      <c r="C141" s="85">
        <v>45.728999999999999</v>
      </c>
      <c r="D141" s="86">
        <v>0.72</v>
      </c>
      <c r="E141" s="87">
        <v>0.35699999999999998</v>
      </c>
      <c r="F141" s="87">
        <f>ROUND(E141/C141*G185,3)</f>
        <v>0.98399999999999999</v>
      </c>
      <c r="G141" s="85" t="s">
        <v>57</v>
      </c>
      <c r="H141" s="85" t="s">
        <v>50</v>
      </c>
      <c r="I141" s="87"/>
      <c r="J141" s="85"/>
      <c r="K141" s="85"/>
      <c r="L141" s="85" t="s">
        <v>196</v>
      </c>
      <c r="M141" s="77"/>
      <c r="N141" s="77">
        <v>45.728999999999999</v>
      </c>
      <c r="O141" s="77"/>
      <c r="P141" s="77" t="s">
        <v>94</v>
      </c>
      <c r="Q141" s="77" t="s">
        <v>95</v>
      </c>
    </row>
    <row r="142" spans="1:17" ht="30" customHeight="1" x14ac:dyDescent="0.15">
      <c r="A142" s="95"/>
      <c r="B142" s="85" t="s">
        <v>266</v>
      </c>
      <c r="C142" s="85">
        <v>40.049999999999997</v>
      </c>
      <c r="D142" s="86">
        <v>0.79</v>
      </c>
      <c r="E142" s="87">
        <v>0.39100000000000001</v>
      </c>
      <c r="F142" s="87">
        <f>ROUND(E142/C142*G185,3)</f>
        <v>1.23</v>
      </c>
      <c r="G142" s="85" t="s">
        <v>57</v>
      </c>
      <c r="H142" s="85" t="s">
        <v>50</v>
      </c>
      <c r="I142" s="87"/>
      <c r="J142" s="85"/>
      <c r="K142" s="85"/>
      <c r="L142" s="85" t="s">
        <v>196</v>
      </c>
      <c r="M142" s="77"/>
      <c r="N142" s="77">
        <v>40.049999999999997</v>
      </c>
      <c r="O142" s="77"/>
      <c r="P142" s="77" t="s">
        <v>94</v>
      </c>
      <c r="Q142" s="77" t="s">
        <v>95</v>
      </c>
    </row>
    <row r="143" spans="1:17" ht="30" customHeight="1" x14ac:dyDescent="0.15">
      <c r="A143" s="95"/>
      <c r="B143" s="85" t="s">
        <v>267</v>
      </c>
      <c r="C143" s="85">
        <v>36.198</v>
      </c>
      <c r="D143" s="86">
        <v>1.1399999999999999</v>
      </c>
      <c r="E143" s="87">
        <v>0.56499999999999995</v>
      </c>
      <c r="F143" s="87">
        <f>ROUND(E143/C143*G185,3)</f>
        <v>1.9670000000000001</v>
      </c>
      <c r="G143" s="85" t="s">
        <v>57</v>
      </c>
      <c r="H143" s="85" t="s">
        <v>50</v>
      </c>
      <c r="I143" s="87"/>
      <c r="J143" s="85"/>
      <c r="K143" s="85"/>
      <c r="L143" s="85" t="s">
        <v>196</v>
      </c>
      <c r="M143" s="77"/>
      <c r="N143" s="77">
        <v>36.198</v>
      </c>
      <c r="O143" s="77"/>
      <c r="P143" s="77" t="s">
        <v>94</v>
      </c>
      <c r="Q143" s="77" t="s">
        <v>95</v>
      </c>
    </row>
    <row r="144" spans="1:17" ht="30" customHeight="1" x14ac:dyDescent="0.15">
      <c r="A144" s="95"/>
      <c r="B144" s="85" t="s">
        <v>268</v>
      </c>
      <c r="C144" s="85">
        <v>44.865000000000002</v>
      </c>
      <c r="D144" s="86">
        <v>0.69</v>
      </c>
      <c r="E144" s="87">
        <v>0.34200000000000003</v>
      </c>
      <c r="F144" s="87">
        <f>ROUND(E144/C144*G185,3)</f>
        <v>0.96</v>
      </c>
      <c r="G144" s="85" t="s">
        <v>57</v>
      </c>
      <c r="H144" s="85" t="s">
        <v>50</v>
      </c>
      <c r="I144" s="87"/>
      <c r="J144" s="85"/>
      <c r="K144" s="85"/>
      <c r="L144" s="85" t="s">
        <v>196</v>
      </c>
      <c r="M144" s="77"/>
      <c r="N144" s="77">
        <v>44.865000000000002</v>
      </c>
      <c r="O144" s="77"/>
      <c r="P144" s="77" t="s">
        <v>94</v>
      </c>
      <c r="Q144" s="77" t="s">
        <v>95</v>
      </c>
    </row>
    <row r="145" spans="1:17" ht="30" customHeight="1" x14ac:dyDescent="0.15">
      <c r="A145" s="95"/>
      <c r="B145" s="85" t="s">
        <v>269</v>
      </c>
      <c r="C145" s="85">
        <v>45.189</v>
      </c>
      <c r="D145" s="86">
        <v>1.45</v>
      </c>
      <c r="E145" s="87">
        <v>0.71799999999999997</v>
      </c>
      <c r="F145" s="87">
        <f>ROUND(E145/C145*G185,3)</f>
        <v>2.0019999999999998</v>
      </c>
      <c r="G145" s="85" t="s">
        <v>57</v>
      </c>
      <c r="H145" s="85" t="s">
        <v>50</v>
      </c>
      <c r="I145" s="87"/>
      <c r="J145" s="85"/>
      <c r="K145" s="85"/>
      <c r="L145" s="85" t="s">
        <v>196</v>
      </c>
      <c r="M145" s="77"/>
      <c r="N145" s="77">
        <v>45.189</v>
      </c>
      <c r="O145" s="77"/>
      <c r="P145" s="77" t="s">
        <v>94</v>
      </c>
      <c r="Q145" s="77" t="s">
        <v>95</v>
      </c>
    </row>
    <row r="146" spans="1:17" ht="30" customHeight="1" x14ac:dyDescent="0.15">
      <c r="A146" s="95"/>
      <c r="B146" s="85" t="s">
        <v>270</v>
      </c>
      <c r="C146" s="85">
        <v>45.558</v>
      </c>
      <c r="D146" s="86">
        <v>1.2</v>
      </c>
      <c r="E146" s="87">
        <v>0.59399999999999997</v>
      </c>
      <c r="F146" s="87">
        <f>ROUND(E146/C146*G185,3)</f>
        <v>1.643</v>
      </c>
      <c r="G146" s="85" t="s">
        <v>57</v>
      </c>
      <c r="H146" s="85" t="s">
        <v>50</v>
      </c>
      <c r="I146" s="87"/>
      <c r="J146" s="85"/>
      <c r="K146" s="85"/>
      <c r="L146" s="85" t="s">
        <v>196</v>
      </c>
      <c r="M146" s="77"/>
      <c r="N146" s="77">
        <v>45.558</v>
      </c>
      <c r="O146" s="77"/>
      <c r="P146" s="77" t="s">
        <v>94</v>
      </c>
      <c r="Q146" s="77" t="s">
        <v>95</v>
      </c>
    </row>
    <row r="147" spans="1:17" ht="30" customHeight="1" x14ac:dyDescent="0.15">
      <c r="A147" s="95"/>
      <c r="B147" s="85" t="s">
        <v>271</v>
      </c>
      <c r="C147" s="85">
        <v>35.549999999999997</v>
      </c>
      <c r="D147" s="86">
        <v>0.61</v>
      </c>
      <c r="E147" s="87">
        <v>0.30199999999999999</v>
      </c>
      <c r="F147" s="87">
        <f>ROUND(E147/C147*G185,3)</f>
        <v>1.07</v>
      </c>
      <c r="G147" s="85" t="s">
        <v>57</v>
      </c>
      <c r="H147" s="85" t="s">
        <v>50</v>
      </c>
      <c r="I147" s="87"/>
      <c r="J147" s="85"/>
      <c r="K147" s="85"/>
      <c r="L147" s="85" t="s">
        <v>196</v>
      </c>
      <c r="M147" s="77"/>
      <c r="N147" s="77">
        <v>35.549999999999997</v>
      </c>
      <c r="O147" s="77"/>
      <c r="P147" s="77" t="s">
        <v>94</v>
      </c>
      <c r="Q147" s="77" t="s">
        <v>95</v>
      </c>
    </row>
    <row r="148" spans="1:17" ht="30" customHeight="1" x14ac:dyDescent="0.15">
      <c r="A148" s="95"/>
      <c r="B148" s="85" t="s">
        <v>272</v>
      </c>
      <c r="C148" s="85">
        <v>42.57</v>
      </c>
      <c r="D148" s="86">
        <v>0.85</v>
      </c>
      <c r="E148" s="87">
        <v>0.42099999999999999</v>
      </c>
      <c r="F148" s="87">
        <f>ROUND(E148/C148*G185,3)</f>
        <v>1.246</v>
      </c>
      <c r="G148" s="85" t="s">
        <v>57</v>
      </c>
      <c r="H148" s="85" t="s">
        <v>50</v>
      </c>
      <c r="I148" s="87"/>
      <c r="J148" s="85"/>
      <c r="K148" s="85"/>
      <c r="L148" s="85" t="s">
        <v>196</v>
      </c>
      <c r="M148" s="77"/>
      <c r="N148" s="77">
        <v>42.57</v>
      </c>
      <c r="O148" s="77"/>
      <c r="P148" s="77" t="s">
        <v>94</v>
      </c>
      <c r="Q148" s="77" t="s">
        <v>95</v>
      </c>
    </row>
    <row r="149" spans="1:17" ht="30" customHeight="1" x14ac:dyDescent="0.15">
      <c r="A149" s="95"/>
      <c r="B149" s="85" t="s">
        <v>273</v>
      </c>
      <c r="C149" s="85">
        <v>36.890999999999998</v>
      </c>
      <c r="D149" s="86">
        <v>0.74</v>
      </c>
      <c r="E149" s="87">
        <v>0.36599999999999999</v>
      </c>
      <c r="F149" s="87">
        <f>ROUND(E149/C149*G185,3)</f>
        <v>1.25</v>
      </c>
      <c r="G149" s="85" t="s">
        <v>57</v>
      </c>
      <c r="H149" s="85" t="s">
        <v>50</v>
      </c>
      <c r="I149" s="87"/>
      <c r="J149" s="85"/>
      <c r="K149" s="85"/>
      <c r="L149" s="85" t="s">
        <v>196</v>
      </c>
      <c r="M149" s="77"/>
      <c r="N149" s="77">
        <v>36.890999999999998</v>
      </c>
      <c r="O149" s="77"/>
      <c r="P149" s="77" t="s">
        <v>94</v>
      </c>
      <c r="Q149" s="77" t="s">
        <v>95</v>
      </c>
    </row>
    <row r="150" spans="1:17" ht="30" customHeight="1" x14ac:dyDescent="0.15">
      <c r="A150" s="95"/>
      <c r="B150" s="85" t="s">
        <v>274</v>
      </c>
      <c r="C150" s="85">
        <v>43.209000000000003</v>
      </c>
      <c r="D150" s="86">
        <v>0.81</v>
      </c>
      <c r="E150" s="87">
        <v>0.40100000000000002</v>
      </c>
      <c r="F150" s="87">
        <f>ROUND(E150/C150*G185,3)</f>
        <v>1.169</v>
      </c>
      <c r="G150" s="85" t="s">
        <v>57</v>
      </c>
      <c r="H150" s="85" t="s">
        <v>50</v>
      </c>
      <c r="I150" s="87"/>
      <c r="J150" s="85"/>
      <c r="K150" s="85"/>
      <c r="L150" s="85" t="s">
        <v>196</v>
      </c>
      <c r="M150" s="77"/>
      <c r="N150" s="77">
        <v>43.209000000000003</v>
      </c>
      <c r="O150" s="77"/>
      <c r="P150" s="77" t="s">
        <v>94</v>
      </c>
      <c r="Q150" s="77" t="s">
        <v>95</v>
      </c>
    </row>
    <row r="151" spans="1:17" ht="30" customHeight="1" x14ac:dyDescent="0.15">
      <c r="A151" s="95"/>
      <c r="B151" s="85" t="s">
        <v>275</v>
      </c>
      <c r="C151" s="85">
        <v>40.572000000000003</v>
      </c>
      <c r="D151" s="86">
        <v>1.06</v>
      </c>
      <c r="E151" s="87">
        <v>0.52500000000000002</v>
      </c>
      <c r="F151" s="87">
        <f>ROUND(E151/C151*G185,3)</f>
        <v>1.63</v>
      </c>
      <c r="G151" s="85" t="s">
        <v>57</v>
      </c>
      <c r="H151" s="85" t="s">
        <v>50</v>
      </c>
      <c r="I151" s="87"/>
      <c r="J151" s="85"/>
      <c r="K151" s="85"/>
      <c r="L151" s="85" t="s">
        <v>196</v>
      </c>
      <c r="M151" s="77"/>
      <c r="N151" s="77">
        <v>40.572000000000003</v>
      </c>
      <c r="O151" s="77"/>
      <c r="P151" s="77" t="s">
        <v>94</v>
      </c>
      <c r="Q151" s="77" t="s">
        <v>95</v>
      </c>
    </row>
    <row r="152" spans="1:17" ht="30" customHeight="1" x14ac:dyDescent="0.15">
      <c r="A152" s="95"/>
      <c r="B152" s="85" t="s">
        <v>276</v>
      </c>
      <c r="C152" s="85">
        <v>43.14</v>
      </c>
      <c r="D152" s="86">
        <v>0.65</v>
      </c>
      <c r="E152" s="87">
        <v>0.32200000000000001</v>
      </c>
      <c r="F152" s="87">
        <f>ROUND(E152/C152*G185,3)</f>
        <v>0.94</v>
      </c>
      <c r="G152" s="85" t="s">
        <v>57</v>
      </c>
      <c r="H152" s="85" t="s">
        <v>50</v>
      </c>
      <c r="I152" s="87"/>
      <c r="J152" s="85"/>
      <c r="K152" s="85"/>
      <c r="L152" s="85" t="s">
        <v>196</v>
      </c>
      <c r="M152" s="77"/>
      <c r="N152" s="77">
        <v>43.14</v>
      </c>
      <c r="O152" s="77"/>
      <c r="P152" s="77" t="s">
        <v>94</v>
      </c>
      <c r="Q152" s="77" t="s">
        <v>95</v>
      </c>
    </row>
    <row r="153" spans="1:17" ht="30" customHeight="1" x14ac:dyDescent="0.15">
      <c r="A153" s="95"/>
      <c r="B153" s="85" t="s">
        <v>277</v>
      </c>
      <c r="C153" s="85">
        <v>43.04</v>
      </c>
      <c r="D153" s="86">
        <v>0.9</v>
      </c>
      <c r="E153" s="87">
        <v>0.44600000000000001</v>
      </c>
      <c r="F153" s="87">
        <f>ROUND(E153/C153*G185,3)</f>
        <v>1.306</v>
      </c>
      <c r="G153" s="85" t="s">
        <v>57</v>
      </c>
      <c r="H153" s="85" t="s">
        <v>50</v>
      </c>
      <c r="I153" s="87"/>
      <c r="J153" s="85"/>
      <c r="K153" s="85"/>
      <c r="L153" s="85" t="s">
        <v>196</v>
      </c>
      <c r="M153" s="77"/>
      <c r="N153" s="77">
        <v>43.04</v>
      </c>
      <c r="O153" s="77"/>
      <c r="P153" s="77" t="s">
        <v>94</v>
      </c>
      <c r="Q153" s="77" t="s">
        <v>95</v>
      </c>
    </row>
    <row r="154" spans="1:17" ht="30" customHeight="1" x14ac:dyDescent="0.15">
      <c r="A154" s="95"/>
      <c r="B154" s="85" t="s">
        <v>278</v>
      </c>
      <c r="C154" s="85">
        <v>43.57</v>
      </c>
      <c r="D154" s="86">
        <v>1.06</v>
      </c>
      <c r="E154" s="87">
        <v>0.52500000000000002</v>
      </c>
      <c r="F154" s="87">
        <f>ROUND(E154/C154*G185,3)</f>
        <v>1.518</v>
      </c>
      <c r="G154" s="85" t="s">
        <v>57</v>
      </c>
      <c r="H154" s="85" t="s">
        <v>50</v>
      </c>
      <c r="I154" s="87"/>
      <c r="J154" s="85"/>
      <c r="K154" s="85"/>
      <c r="L154" s="85" t="s">
        <v>196</v>
      </c>
      <c r="M154" s="77"/>
      <c r="N154" s="77">
        <v>43.57</v>
      </c>
      <c r="O154" s="77"/>
      <c r="P154" s="77" t="s">
        <v>94</v>
      </c>
      <c r="Q154" s="77" t="s">
        <v>95</v>
      </c>
    </row>
    <row r="155" spans="1:17" ht="30" customHeight="1" x14ac:dyDescent="0.15">
      <c r="A155" s="95"/>
      <c r="B155" s="85" t="s">
        <v>279</v>
      </c>
      <c r="C155" s="85">
        <v>42.08</v>
      </c>
      <c r="D155" s="86">
        <v>0.84</v>
      </c>
      <c r="E155" s="87">
        <v>0.41599999999999998</v>
      </c>
      <c r="F155" s="87">
        <f>ROUND(E155/C155*G185,3)</f>
        <v>1.246</v>
      </c>
      <c r="G155" s="85" t="s">
        <v>57</v>
      </c>
      <c r="H155" s="85" t="s">
        <v>50</v>
      </c>
      <c r="I155" s="87"/>
      <c r="J155" s="85"/>
      <c r="K155" s="85"/>
      <c r="L155" s="85" t="s">
        <v>196</v>
      </c>
      <c r="M155" s="77"/>
      <c r="N155" s="77">
        <v>42.08</v>
      </c>
      <c r="O155" s="77"/>
      <c r="P155" s="77" t="s">
        <v>94</v>
      </c>
      <c r="Q155" s="77" t="s">
        <v>95</v>
      </c>
    </row>
    <row r="156" spans="1:17" ht="30" customHeight="1" x14ac:dyDescent="0.15">
      <c r="A156" s="95"/>
      <c r="B156" s="85" t="s">
        <v>280</v>
      </c>
      <c r="C156" s="85">
        <v>52.08</v>
      </c>
      <c r="D156" s="86">
        <v>0.66</v>
      </c>
      <c r="E156" s="87">
        <v>0.32700000000000001</v>
      </c>
      <c r="F156" s="87">
        <f>ROUND(E156/C156*G185,3)</f>
        <v>0.79100000000000004</v>
      </c>
      <c r="G156" s="85" t="s">
        <v>57</v>
      </c>
      <c r="H156" s="85" t="s">
        <v>50</v>
      </c>
      <c r="I156" s="87"/>
      <c r="J156" s="85"/>
      <c r="K156" s="85"/>
      <c r="L156" s="85" t="s">
        <v>196</v>
      </c>
      <c r="M156" s="77"/>
      <c r="N156" s="77">
        <v>52.08</v>
      </c>
      <c r="O156" s="77"/>
      <c r="P156" s="77" t="s">
        <v>94</v>
      </c>
      <c r="Q156" s="77" t="s">
        <v>95</v>
      </c>
    </row>
    <row r="157" spans="1:17" ht="30" customHeight="1" x14ac:dyDescent="0.15">
      <c r="A157" s="95"/>
      <c r="B157" s="85" t="s">
        <v>281</v>
      </c>
      <c r="C157" s="85">
        <v>34.79</v>
      </c>
      <c r="D157" s="86">
        <v>0.62</v>
      </c>
      <c r="E157" s="87">
        <v>0.307</v>
      </c>
      <c r="F157" s="87">
        <f>ROUND(E157/C157*G185,3)</f>
        <v>1.1120000000000001</v>
      </c>
      <c r="G157" s="85" t="s">
        <v>57</v>
      </c>
      <c r="H157" s="85" t="s">
        <v>50</v>
      </c>
      <c r="I157" s="87"/>
      <c r="J157" s="85"/>
      <c r="K157" s="85"/>
      <c r="L157" s="85" t="s">
        <v>196</v>
      </c>
      <c r="M157" s="77"/>
      <c r="N157" s="77">
        <v>34.79</v>
      </c>
      <c r="O157" s="77"/>
      <c r="P157" s="77" t="s">
        <v>94</v>
      </c>
      <c r="Q157" s="77" t="s">
        <v>95</v>
      </c>
    </row>
    <row r="158" spans="1:17" ht="30" customHeight="1" x14ac:dyDescent="0.15">
      <c r="A158" s="95"/>
      <c r="B158" s="85" t="s">
        <v>282</v>
      </c>
      <c r="C158" s="85">
        <v>45.85</v>
      </c>
      <c r="D158" s="86">
        <v>0.89</v>
      </c>
      <c r="E158" s="87">
        <v>0.441</v>
      </c>
      <c r="F158" s="87">
        <f>ROUND(E158/C158*G185,3)</f>
        <v>1.212</v>
      </c>
      <c r="G158" s="85" t="s">
        <v>57</v>
      </c>
      <c r="H158" s="85" t="s">
        <v>50</v>
      </c>
      <c r="I158" s="87"/>
      <c r="J158" s="85"/>
      <c r="K158" s="85"/>
      <c r="L158" s="85" t="s">
        <v>196</v>
      </c>
      <c r="M158" s="77"/>
      <c r="N158" s="77">
        <v>45.85</v>
      </c>
      <c r="O158" s="77"/>
      <c r="P158" s="77" t="s">
        <v>94</v>
      </c>
      <c r="Q158" s="77" t="s">
        <v>95</v>
      </c>
    </row>
    <row r="159" spans="1:17" ht="30" customHeight="1" x14ac:dyDescent="0.15">
      <c r="A159" s="95"/>
      <c r="B159" s="85" t="s">
        <v>283</v>
      </c>
      <c r="C159" s="85">
        <v>46</v>
      </c>
      <c r="D159" s="86">
        <v>1.47</v>
      </c>
      <c r="E159" s="87">
        <v>0.72799999999999998</v>
      </c>
      <c r="F159" s="87">
        <f>ROUND(E159/C159*G185,3)</f>
        <v>1.994</v>
      </c>
      <c r="G159" s="85" t="s">
        <v>57</v>
      </c>
      <c r="H159" s="85" t="s">
        <v>50</v>
      </c>
      <c r="I159" s="87"/>
      <c r="J159" s="85"/>
      <c r="K159" s="85"/>
      <c r="L159" s="85" t="s">
        <v>196</v>
      </c>
      <c r="M159" s="77"/>
      <c r="N159" s="77">
        <v>46</v>
      </c>
      <c r="O159" s="77"/>
      <c r="P159" s="77" t="s">
        <v>94</v>
      </c>
      <c r="Q159" s="77" t="s">
        <v>95</v>
      </c>
    </row>
    <row r="160" spans="1:17" ht="30" customHeight="1" x14ac:dyDescent="0.15">
      <c r="A160" s="95"/>
      <c r="B160" s="85" t="s">
        <v>284</v>
      </c>
      <c r="C160" s="85">
        <v>46.96</v>
      </c>
      <c r="D160" s="86">
        <v>0.69</v>
      </c>
      <c r="E160" s="87">
        <v>0.34200000000000003</v>
      </c>
      <c r="F160" s="87">
        <f>ROUND(E160/C160*G185,3)</f>
        <v>0.91800000000000004</v>
      </c>
      <c r="G160" s="85" t="s">
        <v>57</v>
      </c>
      <c r="H160" s="85" t="s">
        <v>50</v>
      </c>
      <c r="I160" s="87"/>
      <c r="J160" s="85"/>
      <c r="K160" s="85"/>
      <c r="L160" s="85" t="s">
        <v>196</v>
      </c>
      <c r="M160" s="77"/>
      <c r="N160" s="77">
        <v>46.96</v>
      </c>
      <c r="O160" s="77"/>
      <c r="P160" s="77" t="s">
        <v>94</v>
      </c>
      <c r="Q160" s="77" t="s">
        <v>95</v>
      </c>
    </row>
    <row r="161" spans="1:17" ht="30" customHeight="1" x14ac:dyDescent="0.15">
      <c r="A161" s="95"/>
      <c r="B161" s="85" t="s">
        <v>285</v>
      </c>
      <c r="C161" s="85">
        <v>39.81</v>
      </c>
      <c r="D161" s="86">
        <v>0.93</v>
      </c>
      <c r="E161" s="87">
        <v>0.46100000000000002</v>
      </c>
      <c r="F161" s="87">
        <f>ROUND(E161/C161*G185,3)</f>
        <v>1.4590000000000001</v>
      </c>
      <c r="G161" s="85" t="s">
        <v>57</v>
      </c>
      <c r="H161" s="85" t="s">
        <v>50</v>
      </c>
      <c r="I161" s="87"/>
      <c r="J161" s="85"/>
      <c r="K161" s="85"/>
      <c r="L161" s="85" t="s">
        <v>196</v>
      </c>
      <c r="M161" s="77"/>
      <c r="N161" s="77">
        <v>39.81</v>
      </c>
      <c r="O161" s="77"/>
      <c r="P161" s="77" t="s">
        <v>94</v>
      </c>
      <c r="Q161" s="77" t="s">
        <v>95</v>
      </c>
    </row>
    <row r="162" spans="1:17" ht="30" customHeight="1" x14ac:dyDescent="0.15">
      <c r="A162" s="95"/>
      <c r="B162" s="85" t="s">
        <v>286</v>
      </c>
      <c r="C162" s="85">
        <v>32.92</v>
      </c>
      <c r="D162" s="86">
        <v>1.02</v>
      </c>
      <c r="E162" s="87">
        <v>0.505</v>
      </c>
      <c r="F162" s="87">
        <f>ROUND(E162/C162*G185,3)</f>
        <v>1.9330000000000001</v>
      </c>
      <c r="G162" s="85" t="s">
        <v>57</v>
      </c>
      <c r="H162" s="85" t="s">
        <v>50</v>
      </c>
      <c r="I162" s="87"/>
      <c r="J162" s="85"/>
      <c r="K162" s="85"/>
      <c r="L162" s="85" t="s">
        <v>196</v>
      </c>
      <c r="M162" s="77"/>
      <c r="N162" s="77">
        <v>32.92</v>
      </c>
      <c r="O162" s="77"/>
      <c r="P162" s="77" t="s">
        <v>94</v>
      </c>
      <c r="Q162" s="77" t="s">
        <v>95</v>
      </c>
    </row>
    <row r="163" spans="1:17" ht="30" customHeight="1" x14ac:dyDescent="0.15">
      <c r="A163" s="95"/>
      <c r="B163" s="85" t="s">
        <v>287</v>
      </c>
      <c r="C163" s="85">
        <v>37.15</v>
      </c>
      <c r="D163" s="86">
        <v>0.66</v>
      </c>
      <c r="E163" s="87">
        <v>0.32700000000000001</v>
      </c>
      <c r="F163" s="87">
        <f>ROUND(E163/C163*G185,3)</f>
        <v>1.109</v>
      </c>
      <c r="G163" s="85" t="s">
        <v>57</v>
      </c>
      <c r="H163" s="85" t="s">
        <v>50</v>
      </c>
      <c r="I163" s="87"/>
      <c r="J163" s="85"/>
      <c r="K163" s="85"/>
      <c r="L163" s="85" t="s">
        <v>196</v>
      </c>
      <c r="M163" s="77"/>
      <c r="N163" s="77">
        <v>37.15</v>
      </c>
      <c r="O163" s="77"/>
      <c r="P163" s="77" t="s">
        <v>94</v>
      </c>
      <c r="Q163" s="77" t="s">
        <v>95</v>
      </c>
    </row>
    <row r="164" spans="1:17" ht="30" customHeight="1" x14ac:dyDescent="0.15">
      <c r="A164" s="95"/>
      <c r="B164" s="85" t="s">
        <v>288</v>
      </c>
      <c r="C164" s="85">
        <v>36.79</v>
      </c>
      <c r="D164" s="86">
        <v>0.99</v>
      </c>
      <c r="E164" s="87">
        <v>0.49</v>
      </c>
      <c r="F164" s="87">
        <f>ROUND(E164/C164*G185,3)</f>
        <v>1.6779999999999999</v>
      </c>
      <c r="G164" s="85" t="s">
        <v>57</v>
      </c>
      <c r="H164" s="85" t="s">
        <v>50</v>
      </c>
      <c r="I164" s="87"/>
      <c r="J164" s="85"/>
      <c r="K164" s="85"/>
      <c r="L164" s="85" t="s">
        <v>196</v>
      </c>
      <c r="M164" s="77"/>
      <c r="N164" s="77">
        <v>36.79</v>
      </c>
      <c r="O164" s="77"/>
      <c r="P164" s="77" t="s">
        <v>94</v>
      </c>
      <c r="Q164" s="77" t="s">
        <v>95</v>
      </c>
    </row>
    <row r="165" spans="1:17" ht="30" customHeight="1" x14ac:dyDescent="0.15">
      <c r="A165" s="95"/>
      <c r="B165" s="85" t="s">
        <v>289</v>
      </c>
      <c r="C165" s="85">
        <v>88</v>
      </c>
      <c r="D165" s="86">
        <v>0.87</v>
      </c>
      <c r="E165" s="87">
        <v>0.43099999999999999</v>
      </c>
      <c r="F165" s="87">
        <f>ROUND(E165/C165*G185,3)</f>
        <v>0.61699999999999999</v>
      </c>
      <c r="G165" s="85" t="s">
        <v>57</v>
      </c>
      <c r="H165" s="85" t="s">
        <v>50</v>
      </c>
      <c r="I165" s="87"/>
      <c r="J165" s="85"/>
      <c r="K165" s="85"/>
      <c r="L165" s="85" t="s">
        <v>103</v>
      </c>
      <c r="M165" s="77"/>
      <c r="N165" s="77">
        <v>88</v>
      </c>
      <c r="O165" s="77"/>
      <c r="P165" s="77" t="s">
        <v>94</v>
      </c>
      <c r="Q165" s="77" t="s">
        <v>95</v>
      </c>
    </row>
    <row r="166" spans="1:17" ht="30" customHeight="1" x14ac:dyDescent="0.15">
      <c r="A166" s="95"/>
      <c r="B166" s="85" t="s">
        <v>290</v>
      </c>
      <c r="C166" s="85">
        <v>76</v>
      </c>
      <c r="D166" s="86">
        <v>0.75</v>
      </c>
      <c r="E166" s="87">
        <v>0.371</v>
      </c>
      <c r="F166" s="87">
        <f>ROUND(E166/C166*G185,3)</f>
        <v>0.61499999999999999</v>
      </c>
      <c r="G166" s="85" t="s">
        <v>57</v>
      </c>
      <c r="H166" s="85" t="s">
        <v>50</v>
      </c>
      <c r="I166" s="87"/>
      <c r="J166" s="85"/>
      <c r="K166" s="85"/>
      <c r="L166" s="85" t="s">
        <v>103</v>
      </c>
      <c r="M166" s="77"/>
      <c r="N166" s="77">
        <v>76</v>
      </c>
      <c r="O166" s="77"/>
      <c r="P166" s="77" t="s">
        <v>94</v>
      </c>
      <c r="Q166" s="77" t="s">
        <v>95</v>
      </c>
    </row>
    <row r="167" spans="1:17" ht="30" customHeight="1" x14ac:dyDescent="0.15">
      <c r="A167" s="95"/>
      <c r="B167" s="85" t="s">
        <v>291</v>
      </c>
      <c r="C167" s="85">
        <v>78.39</v>
      </c>
      <c r="D167" s="86">
        <v>2.54</v>
      </c>
      <c r="E167" s="87">
        <v>1.258</v>
      </c>
      <c r="F167" s="87">
        <f>ROUND(E167/C167*G185,3)</f>
        <v>2.0219999999999998</v>
      </c>
      <c r="G167" s="85" t="s">
        <v>57</v>
      </c>
      <c r="H167" s="85" t="s">
        <v>50</v>
      </c>
      <c r="I167" s="87"/>
      <c r="J167" s="85"/>
      <c r="K167" s="85"/>
      <c r="L167" s="85" t="s">
        <v>103</v>
      </c>
      <c r="M167" s="77"/>
      <c r="N167" s="77">
        <v>78.39</v>
      </c>
      <c r="O167" s="77"/>
      <c r="P167" s="77" t="s">
        <v>94</v>
      </c>
      <c r="Q167" s="77" t="s">
        <v>95</v>
      </c>
    </row>
    <row r="168" spans="1:17" ht="30" customHeight="1" x14ac:dyDescent="0.15">
      <c r="A168" s="95"/>
      <c r="B168" s="85" t="s">
        <v>292</v>
      </c>
      <c r="C168" s="85">
        <v>81.709999999999994</v>
      </c>
      <c r="D168" s="86">
        <v>1.8</v>
      </c>
      <c r="E168" s="87">
        <v>0.89100000000000001</v>
      </c>
      <c r="F168" s="87">
        <f>ROUND(E168/C168*G185,3)</f>
        <v>1.3740000000000001</v>
      </c>
      <c r="G168" s="85" t="s">
        <v>57</v>
      </c>
      <c r="H168" s="85" t="s">
        <v>50</v>
      </c>
      <c r="I168" s="87"/>
      <c r="J168" s="85"/>
      <c r="K168" s="85"/>
      <c r="L168" s="85" t="s">
        <v>103</v>
      </c>
      <c r="M168" s="77"/>
      <c r="N168" s="77">
        <v>81.709999999999994</v>
      </c>
      <c r="O168" s="77"/>
      <c r="P168" s="77" t="s">
        <v>94</v>
      </c>
      <c r="Q168" s="77" t="s">
        <v>95</v>
      </c>
    </row>
    <row r="169" spans="1:17" ht="30" customHeight="1" x14ac:dyDescent="0.15">
      <c r="A169" s="95"/>
      <c r="B169" s="85" t="s">
        <v>293</v>
      </c>
      <c r="C169" s="85">
        <v>58.86</v>
      </c>
      <c r="D169" s="86">
        <v>0.67</v>
      </c>
      <c r="E169" s="87">
        <v>0.33200000000000002</v>
      </c>
      <c r="F169" s="87">
        <f>ROUND(E169/C169*G185,3)</f>
        <v>0.71099999999999997</v>
      </c>
      <c r="G169" s="85" t="s">
        <v>57</v>
      </c>
      <c r="H169" s="85" t="s">
        <v>50</v>
      </c>
      <c r="I169" s="87"/>
      <c r="J169" s="85"/>
      <c r="K169" s="85"/>
      <c r="L169" s="85" t="s">
        <v>103</v>
      </c>
      <c r="M169" s="77"/>
      <c r="N169" s="77">
        <v>58.86</v>
      </c>
      <c r="O169" s="77"/>
      <c r="P169" s="77" t="s">
        <v>94</v>
      </c>
      <c r="Q169" s="77" t="s">
        <v>95</v>
      </c>
    </row>
    <row r="170" spans="1:17" ht="30" customHeight="1" x14ac:dyDescent="0.15">
      <c r="A170" s="95"/>
      <c r="B170" s="85" t="s">
        <v>294</v>
      </c>
      <c r="C170" s="85">
        <v>52.38</v>
      </c>
      <c r="D170" s="86">
        <v>0.85</v>
      </c>
      <c r="E170" s="87">
        <v>0.42099999999999999</v>
      </c>
      <c r="F170" s="87">
        <f>ROUND(E170/C170*G185,3)</f>
        <v>1.0129999999999999</v>
      </c>
      <c r="G170" s="85" t="s">
        <v>57</v>
      </c>
      <c r="H170" s="85" t="s">
        <v>50</v>
      </c>
      <c r="I170" s="87"/>
      <c r="J170" s="85"/>
      <c r="K170" s="85"/>
      <c r="L170" s="85" t="s">
        <v>103</v>
      </c>
      <c r="M170" s="77"/>
      <c r="N170" s="77">
        <v>52.38</v>
      </c>
      <c r="O170" s="77"/>
      <c r="P170" s="77" t="s">
        <v>94</v>
      </c>
      <c r="Q170" s="77" t="s">
        <v>95</v>
      </c>
    </row>
    <row r="171" spans="1:17" ht="30" customHeight="1" x14ac:dyDescent="0.15">
      <c r="A171" s="95"/>
      <c r="B171" s="85" t="s">
        <v>295</v>
      </c>
      <c r="C171" s="85">
        <v>59.66</v>
      </c>
      <c r="D171" s="86">
        <v>0.99</v>
      </c>
      <c r="E171" s="87">
        <v>0.49</v>
      </c>
      <c r="F171" s="87">
        <f>ROUND(E171/C171*G185,3)</f>
        <v>1.0349999999999999</v>
      </c>
      <c r="G171" s="85" t="s">
        <v>57</v>
      </c>
      <c r="H171" s="85" t="s">
        <v>50</v>
      </c>
      <c r="I171" s="87"/>
      <c r="J171" s="85"/>
      <c r="K171" s="85"/>
      <c r="L171" s="85" t="s">
        <v>103</v>
      </c>
      <c r="M171" s="77"/>
      <c r="N171" s="77">
        <v>59.66</v>
      </c>
      <c r="O171" s="77"/>
      <c r="P171" s="77" t="s">
        <v>94</v>
      </c>
      <c r="Q171" s="77" t="s">
        <v>95</v>
      </c>
    </row>
    <row r="172" spans="1:17" ht="30" customHeight="1" x14ac:dyDescent="0.15">
      <c r="A172" s="95"/>
      <c r="B172" s="85" t="s">
        <v>296</v>
      </c>
      <c r="C172" s="85">
        <v>47.2</v>
      </c>
      <c r="D172" s="86">
        <v>1.06</v>
      </c>
      <c r="E172" s="87">
        <v>0.52500000000000002</v>
      </c>
      <c r="F172" s="87">
        <f>ROUND(E172/C172*G185,3)</f>
        <v>1.401</v>
      </c>
      <c r="G172" s="85" t="s">
        <v>57</v>
      </c>
      <c r="H172" s="85" t="s">
        <v>50</v>
      </c>
      <c r="I172" s="87"/>
      <c r="J172" s="85"/>
      <c r="K172" s="85"/>
      <c r="L172" s="85" t="s">
        <v>103</v>
      </c>
      <c r="M172" s="77"/>
      <c r="N172" s="77">
        <v>47.2</v>
      </c>
      <c r="O172" s="77"/>
      <c r="P172" s="77" t="s">
        <v>94</v>
      </c>
      <c r="Q172" s="77" t="s">
        <v>95</v>
      </c>
    </row>
    <row r="173" spans="1:17" ht="30" customHeight="1" x14ac:dyDescent="0.15">
      <c r="A173" s="95"/>
      <c r="B173" s="85" t="s">
        <v>297</v>
      </c>
      <c r="C173" s="85">
        <v>71.849999999999994</v>
      </c>
      <c r="D173" s="86">
        <v>0.74</v>
      </c>
      <c r="E173" s="87">
        <v>0.36599999999999999</v>
      </c>
      <c r="F173" s="87">
        <f>ROUND(E173/C173*G185,3)</f>
        <v>0.64200000000000002</v>
      </c>
      <c r="G173" s="85" t="s">
        <v>57</v>
      </c>
      <c r="H173" s="85" t="s">
        <v>50</v>
      </c>
      <c r="I173" s="87"/>
      <c r="J173" s="85"/>
      <c r="K173" s="85"/>
      <c r="L173" s="85" t="s">
        <v>103</v>
      </c>
      <c r="M173" s="77"/>
      <c r="N173" s="77">
        <v>71.849999999999994</v>
      </c>
      <c r="O173" s="77"/>
      <c r="P173" s="77" t="s">
        <v>94</v>
      </c>
      <c r="Q173" s="77" t="s">
        <v>95</v>
      </c>
    </row>
    <row r="174" spans="1:17" ht="30" customHeight="1" x14ac:dyDescent="0.15">
      <c r="A174" s="95"/>
      <c r="B174" s="85" t="s">
        <v>298</v>
      </c>
      <c r="C174" s="85">
        <v>82.79</v>
      </c>
      <c r="D174" s="86">
        <v>0.72</v>
      </c>
      <c r="E174" s="87">
        <v>0.35699999999999998</v>
      </c>
      <c r="F174" s="87">
        <f>ROUND(E174/C174*G185,3)</f>
        <v>0.54300000000000004</v>
      </c>
      <c r="G174" s="85" t="s">
        <v>57</v>
      </c>
      <c r="H174" s="85" t="s">
        <v>50</v>
      </c>
      <c r="I174" s="87"/>
      <c r="J174" s="85"/>
      <c r="K174" s="85"/>
      <c r="L174" s="85" t="s">
        <v>103</v>
      </c>
      <c r="M174" s="77"/>
      <c r="N174" s="77">
        <v>82.79</v>
      </c>
      <c r="O174" s="77"/>
      <c r="P174" s="77" t="s">
        <v>94</v>
      </c>
      <c r="Q174" s="77" t="s">
        <v>95</v>
      </c>
    </row>
    <row r="175" spans="1:17" ht="30" customHeight="1" x14ac:dyDescent="0.15">
      <c r="A175" s="95"/>
      <c r="B175" s="85" t="s">
        <v>299</v>
      </c>
      <c r="C175" s="85">
        <v>47.33</v>
      </c>
      <c r="D175" s="86">
        <v>1</v>
      </c>
      <c r="E175" s="87">
        <v>0.495</v>
      </c>
      <c r="F175" s="87">
        <f>ROUND(E175/C175*G185,3)</f>
        <v>1.3180000000000001</v>
      </c>
      <c r="G175" s="85" t="s">
        <v>57</v>
      </c>
      <c r="H175" s="85" t="s">
        <v>50</v>
      </c>
      <c r="I175" s="87"/>
      <c r="J175" s="85"/>
      <c r="K175" s="85"/>
      <c r="L175" s="85" t="s">
        <v>103</v>
      </c>
      <c r="M175" s="77"/>
      <c r="N175" s="77">
        <v>47.33</v>
      </c>
      <c r="O175" s="77"/>
      <c r="P175" s="77" t="s">
        <v>94</v>
      </c>
      <c r="Q175" s="77" t="s">
        <v>95</v>
      </c>
    </row>
    <row r="176" spans="1:17" ht="30" customHeight="1" x14ac:dyDescent="0.15">
      <c r="A176" s="95"/>
      <c r="B176" s="85" t="s">
        <v>300</v>
      </c>
      <c r="C176" s="85">
        <v>88.12</v>
      </c>
      <c r="D176" s="86">
        <v>1.01</v>
      </c>
      <c r="E176" s="87">
        <v>0.5</v>
      </c>
      <c r="F176" s="87">
        <f>ROUND(E176/C176*G185,3)</f>
        <v>0.71499999999999997</v>
      </c>
      <c r="G176" s="85" t="s">
        <v>57</v>
      </c>
      <c r="H176" s="85" t="s">
        <v>50</v>
      </c>
      <c r="I176" s="87"/>
      <c r="J176" s="85"/>
      <c r="K176" s="85"/>
      <c r="L176" s="85" t="s">
        <v>103</v>
      </c>
      <c r="M176" s="77"/>
      <c r="N176" s="77">
        <v>88.12</v>
      </c>
      <c r="O176" s="77"/>
      <c r="P176" s="77" t="s">
        <v>94</v>
      </c>
      <c r="Q176" s="77" t="s">
        <v>95</v>
      </c>
    </row>
    <row r="177" spans="1:17" ht="30" customHeight="1" x14ac:dyDescent="0.15">
      <c r="A177" s="95"/>
      <c r="B177" s="85" t="s">
        <v>301</v>
      </c>
      <c r="C177" s="85">
        <v>74.47</v>
      </c>
      <c r="D177" s="86">
        <v>0.79</v>
      </c>
      <c r="E177" s="87">
        <v>0.39100000000000001</v>
      </c>
      <c r="F177" s="87">
        <f>ROUND(E177/C177*G185,3)</f>
        <v>0.66200000000000003</v>
      </c>
      <c r="G177" s="85" t="s">
        <v>57</v>
      </c>
      <c r="H177" s="85" t="s">
        <v>50</v>
      </c>
      <c r="I177" s="87"/>
      <c r="J177" s="85"/>
      <c r="K177" s="85"/>
      <c r="L177" s="85" t="s">
        <v>103</v>
      </c>
      <c r="M177" s="77"/>
      <c r="N177" s="77">
        <v>74.47</v>
      </c>
      <c r="O177" s="77"/>
      <c r="P177" s="77" t="s">
        <v>94</v>
      </c>
      <c r="Q177" s="77" t="s">
        <v>95</v>
      </c>
    </row>
    <row r="178" spans="1:17" ht="30" customHeight="1" x14ac:dyDescent="0.15">
      <c r="A178" s="95"/>
      <c r="B178" s="85" t="s">
        <v>302</v>
      </c>
      <c r="C178" s="85">
        <v>81.209999999999994</v>
      </c>
      <c r="D178" s="86">
        <v>0.6</v>
      </c>
      <c r="E178" s="87">
        <v>0.29699999999999999</v>
      </c>
      <c r="F178" s="87">
        <f>ROUND(E178/C178*G185,3)</f>
        <v>0.46100000000000002</v>
      </c>
      <c r="G178" s="85" t="s">
        <v>57</v>
      </c>
      <c r="H178" s="85" t="s">
        <v>50</v>
      </c>
      <c r="I178" s="87"/>
      <c r="J178" s="85"/>
      <c r="K178" s="85"/>
      <c r="L178" s="85" t="s">
        <v>103</v>
      </c>
      <c r="M178" s="77"/>
      <c r="N178" s="77">
        <v>81.209999999999994</v>
      </c>
      <c r="O178" s="77"/>
      <c r="P178" s="77" t="s">
        <v>94</v>
      </c>
      <c r="Q178" s="77" t="s">
        <v>95</v>
      </c>
    </row>
    <row r="179" spans="1:17" ht="30" customHeight="1" x14ac:dyDescent="0.15">
      <c r="A179" s="95"/>
      <c r="B179" s="85" t="s">
        <v>303</v>
      </c>
      <c r="C179" s="85">
        <v>82.78</v>
      </c>
      <c r="D179" s="86">
        <v>0.81</v>
      </c>
      <c r="E179" s="87">
        <v>0.40100000000000002</v>
      </c>
      <c r="F179" s="87">
        <f>ROUND(E179/C179*G185,3)</f>
        <v>0.61</v>
      </c>
      <c r="G179" s="85" t="s">
        <v>57</v>
      </c>
      <c r="H179" s="85" t="s">
        <v>50</v>
      </c>
      <c r="I179" s="87"/>
      <c r="J179" s="85"/>
      <c r="K179" s="85"/>
      <c r="L179" s="85" t="s">
        <v>103</v>
      </c>
      <c r="M179" s="77"/>
      <c r="N179" s="77">
        <v>82.78</v>
      </c>
      <c r="O179" s="77"/>
      <c r="P179" s="77" t="s">
        <v>94</v>
      </c>
      <c r="Q179" s="77" t="s">
        <v>95</v>
      </c>
    </row>
    <row r="180" spans="1:17" ht="30" customHeight="1" x14ac:dyDescent="0.15">
      <c r="A180" s="95"/>
      <c r="B180" s="85" t="s">
        <v>304</v>
      </c>
      <c r="C180" s="85">
        <v>84.85</v>
      </c>
      <c r="D180" s="86">
        <v>1.54</v>
      </c>
      <c r="E180" s="87">
        <v>0.76300000000000001</v>
      </c>
      <c r="F180" s="87">
        <f>ROUND(E180/C180*G185,3)</f>
        <v>1.133</v>
      </c>
      <c r="G180" s="85" t="s">
        <v>57</v>
      </c>
      <c r="H180" s="85" t="s">
        <v>50</v>
      </c>
      <c r="I180" s="87"/>
      <c r="J180" s="85"/>
      <c r="K180" s="85"/>
      <c r="L180" s="85" t="s">
        <v>103</v>
      </c>
      <c r="M180" s="77"/>
      <c r="N180" s="77">
        <v>84.85</v>
      </c>
      <c r="O180" s="77"/>
      <c r="P180" s="77" t="s">
        <v>94</v>
      </c>
      <c r="Q180" s="77" t="s">
        <v>95</v>
      </c>
    </row>
    <row r="181" spans="1:17" ht="30" customHeight="1" x14ac:dyDescent="0.15">
      <c r="A181" s="95"/>
      <c r="B181" s="85" t="s">
        <v>305</v>
      </c>
      <c r="C181" s="85">
        <v>44.6</v>
      </c>
      <c r="D181" s="86">
        <v>0.7</v>
      </c>
      <c r="E181" s="87">
        <v>0.34699999999999998</v>
      </c>
      <c r="F181" s="87">
        <f>ROUND(E181/C181*G185,3)</f>
        <v>0.98</v>
      </c>
      <c r="G181" s="85" t="s">
        <v>57</v>
      </c>
      <c r="H181" s="85" t="s">
        <v>50</v>
      </c>
      <c r="I181" s="87"/>
      <c r="J181" s="85"/>
      <c r="K181" s="85"/>
      <c r="L181" s="85" t="s">
        <v>103</v>
      </c>
      <c r="M181" s="77"/>
      <c r="N181" s="77">
        <v>44.6</v>
      </c>
      <c r="O181" s="77"/>
      <c r="P181" s="77" t="s">
        <v>94</v>
      </c>
      <c r="Q181" s="77" t="s">
        <v>95</v>
      </c>
    </row>
    <row r="182" spans="1:17" ht="30" customHeight="1" x14ac:dyDescent="0.15">
      <c r="A182" s="95"/>
      <c r="B182" s="85" t="s">
        <v>306</v>
      </c>
      <c r="C182" s="85">
        <v>90.25</v>
      </c>
      <c r="D182" s="86">
        <v>0.66</v>
      </c>
      <c r="E182" s="87">
        <v>0.32700000000000001</v>
      </c>
      <c r="F182" s="87">
        <f>ROUND(E182/C182*G185,3)</f>
        <v>0.45700000000000002</v>
      </c>
      <c r="G182" s="85" t="s">
        <v>57</v>
      </c>
      <c r="H182" s="85" t="s">
        <v>50</v>
      </c>
      <c r="I182" s="87"/>
      <c r="J182" s="85"/>
      <c r="K182" s="85"/>
      <c r="L182" s="85" t="s">
        <v>103</v>
      </c>
      <c r="M182" s="77"/>
      <c r="N182" s="77">
        <v>90.25</v>
      </c>
      <c r="O182" s="77"/>
      <c r="P182" s="77" t="s">
        <v>94</v>
      </c>
      <c r="Q182" s="77" t="s">
        <v>95</v>
      </c>
    </row>
    <row r="183" spans="1:17" ht="30" customHeight="1" x14ac:dyDescent="0.15">
      <c r="A183" s="95"/>
      <c r="B183" s="85" t="s">
        <v>307</v>
      </c>
      <c r="C183" s="85">
        <v>80.39</v>
      </c>
      <c r="D183" s="86">
        <v>1.99</v>
      </c>
      <c r="E183" s="87">
        <v>0.98599999999999999</v>
      </c>
      <c r="F183" s="87">
        <f>ROUND(E183/C183*G185,3)</f>
        <v>1.5449999999999999</v>
      </c>
      <c r="G183" s="85" t="s">
        <v>57</v>
      </c>
      <c r="H183" s="85" t="s">
        <v>50</v>
      </c>
      <c r="I183" s="87"/>
      <c r="J183" s="85"/>
      <c r="K183" s="85"/>
      <c r="L183" s="85" t="s">
        <v>103</v>
      </c>
      <c r="M183" s="77"/>
      <c r="N183" s="77">
        <v>80.39</v>
      </c>
      <c r="O183" s="77"/>
      <c r="P183" s="77" t="s">
        <v>94</v>
      </c>
      <c r="Q183" s="77" t="s">
        <v>95</v>
      </c>
    </row>
    <row r="184" spans="1:17" ht="30" customHeight="1" x14ac:dyDescent="0.15">
      <c r="A184" s="94"/>
      <c r="B184" s="85" t="s">
        <v>308</v>
      </c>
      <c r="C184" s="85">
        <v>37.31</v>
      </c>
      <c r="D184" s="86">
        <v>0.94</v>
      </c>
      <c r="E184" s="87">
        <v>0.46600000000000003</v>
      </c>
      <c r="F184" s="87">
        <f>ROUND(E184/C184*G185,3)</f>
        <v>1.5740000000000001</v>
      </c>
      <c r="G184" s="85" t="s">
        <v>57</v>
      </c>
      <c r="H184" s="85" t="s">
        <v>50</v>
      </c>
      <c r="I184" s="87"/>
      <c r="J184" s="85"/>
      <c r="K184" s="85"/>
      <c r="L184" s="85" t="s">
        <v>103</v>
      </c>
      <c r="M184" s="77"/>
      <c r="N184" s="77">
        <v>37.31</v>
      </c>
      <c r="O184" s="77"/>
      <c r="P184" s="77" t="s">
        <v>94</v>
      </c>
      <c r="Q184" s="77" t="s">
        <v>95</v>
      </c>
    </row>
    <row r="185" spans="1:17" ht="30" customHeight="1" x14ac:dyDescent="0.2">
      <c r="A185" s="78"/>
      <c r="B185" s="78"/>
      <c r="C185" s="78"/>
      <c r="D185" s="81">
        <f>ROUND(SUM(D83:D184),2)</f>
        <v>100.96</v>
      </c>
      <c r="E185" s="82">
        <v>50.000999999999998</v>
      </c>
      <c r="F185" s="82">
        <f>IF(G185&gt;1,ROUND(SUM(F83:F184)/G185*2,3),ROUND(SUM(F83:F184),3))</f>
        <v>2.109</v>
      </c>
      <c r="G185" s="77">
        <v>126</v>
      </c>
      <c r="H185" s="78"/>
      <c r="I185" s="88">
        <f>ROUND(20-F185,3)</f>
        <v>17.890999999999998</v>
      </c>
      <c r="J185" s="78"/>
      <c r="K185" s="78"/>
      <c r="L185" s="78"/>
      <c r="M185" s="77" t="e">
        <f>AVERAGE(M83:M184)</f>
        <v>#DIV/0!</v>
      </c>
      <c r="N185" s="78"/>
      <c r="O185" s="78"/>
      <c r="P185" s="78"/>
      <c r="Q185" s="78"/>
    </row>
    <row r="186" spans="1:17" ht="30" customHeight="1" x14ac:dyDescent="0.15">
      <c r="A186" s="93" t="s">
        <v>58</v>
      </c>
      <c r="B186" s="85" t="s">
        <v>309</v>
      </c>
      <c r="C186" s="85">
        <v>30.86</v>
      </c>
      <c r="D186" s="86">
        <v>1.52</v>
      </c>
      <c r="E186" s="87">
        <v>1.363</v>
      </c>
      <c r="F186" s="87">
        <f>ROUND(E186/C186*G220,3)</f>
        <v>0.751</v>
      </c>
      <c r="G186" s="85" t="s">
        <v>57</v>
      </c>
      <c r="H186" s="85" t="s">
        <v>50</v>
      </c>
      <c r="I186" s="87"/>
      <c r="J186" s="85"/>
      <c r="K186" s="85"/>
      <c r="L186" s="85" t="s">
        <v>196</v>
      </c>
      <c r="M186" s="77"/>
      <c r="N186" s="77">
        <v>30.86</v>
      </c>
      <c r="O186" s="77"/>
      <c r="P186" s="77" t="s">
        <v>94</v>
      </c>
      <c r="Q186" s="77" t="s">
        <v>95</v>
      </c>
    </row>
    <row r="187" spans="1:17" ht="30" customHeight="1" x14ac:dyDescent="0.15">
      <c r="A187" s="95"/>
      <c r="B187" s="85" t="s">
        <v>310</v>
      </c>
      <c r="C187" s="85">
        <v>17.739999999999998</v>
      </c>
      <c r="D187" s="86">
        <v>1.03</v>
      </c>
      <c r="E187" s="87">
        <v>0.92400000000000004</v>
      </c>
      <c r="F187" s="87">
        <f>ROUND(E187/C187*G220,3)</f>
        <v>0.88500000000000001</v>
      </c>
      <c r="G187" s="85" t="s">
        <v>57</v>
      </c>
      <c r="H187" s="85" t="s">
        <v>50</v>
      </c>
      <c r="I187" s="87"/>
      <c r="J187" s="85"/>
      <c r="K187" s="85"/>
      <c r="L187" s="85" t="s">
        <v>196</v>
      </c>
      <c r="M187" s="77"/>
      <c r="N187" s="77">
        <v>17.739999999999998</v>
      </c>
      <c r="O187" s="77"/>
      <c r="P187" s="77" t="s">
        <v>94</v>
      </c>
      <c r="Q187" s="77" t="s">
        <v>95</v>
      </c>
    </row>
    <row r="188" spans="1:17" ht="30" customHeight="1" x14ac:dyDescent="0.15">
      <c r="A188" s="95"/>
      <c r="B188" s="85" t="s">
        <v>311</v>
      </c>
      <c r="C188" s="85">
        <v>35.049999999999997</v>
      </c>
      <c r="D188" s="86">
        <v>1.73</v>
      </c>
      <c r="E188" s="87">
        <v>1.552</v>
      </c>
      <c r="F188" s="87">
        <f>ROUND(E188/C188*G220,3)</f>
        <v>0.753</v>
      </c>
      <c r="G188" s="85" t="s">
        <v>57</v>
      </c>
      <c r="H188" s="85" t="s">
        <v>50</v>
      </c>
      <c r="I188" s="87"/>
      <c r="J188" s="85"/>
      <c r="K188" s="85"/>
      <c r="L188" s="85" t="s">
        <v>196</v>
      </c>
      <c r="M188" s="77"/>
      <c r="N188" s="77">
        <v>35.049999999999997</v>
      </c>
      <c r="O188" s="77"/>
      <c r="P188" s="77" t="s">
        <v>94</v>
      </c>
      <c r="Q188" s="77" t="s">
        <v>95</v>
      </c>
    </row>
    <row r="189" spans="1:17" ht="30" customHeight="1" x14ac:dyDescent="0.15">
      <c r="A189" s="95"/>
      <c r="B189" s="85" t="s">
        <v>312</v>
      </c>
      <c r="C189" s="85">
        <v>29.86</v>
      </c>
      <c r="D189" s="86">
        <v>1.06</v>
      </c>
      <c r="E189" s="87">
        <v>0.95099999999999996</v>
      </c>
      <c r="F189" s="87">
        <f>ROUND(E189/C189*G220,3)</f>
        <v>0.54100000000000004</v>
      </c>
      <c r="G189" s="85" t="s">
        <v>57</v>
      </c>
      <c r="H189" s="85" t="s">
        <v>50</v>
      </c>
      <c r="I189" s="87"/>
      <c r="J189" s="85"/>
      <c r="K189" s="85"/>
      <c r="L189" s="85" t="s">
        <v>196</v>
      </c>
      <c r="M189" s="77"/>
      <c r="N189" s="77">
        <v>29.86</v>
      </c>
      <c r="O189" s="77"/>
      <c r="P189" s="77" t="s">
        <v>94</v>
      </c>
      <c r="Q189" s="77" t="s">
        <v>95</v>
      </c>
    </row>
    <row r="190" spans="1:17" ht="30" customHeight="1" x14ac:dyDescent="0.15">
      <c r="A190" s="95"/>
      <c r="B190" s="85" t="s">
        <v>313</v>
      </c>
      <c r="C190" s="85">
        <v>30.28</v>
      </c>
      <c r="D190" s="86">
        <v>1.05</v>
      </c>
      <c r="E190" s="87">
        <v>0.94199999999999995</v>
      </c>
      <c r="F190" s="87">
        <f>ROUND(E190/C190*G220,3)</f>
        <v>0.52900000000000003</v>
      </c>
      <c r="G190" s="85" t="s">
        <v>57</v>
      </c>
      <c r="H190" s="85" t="s">
        <v>50</v>
      </c>
      <c r="I190" s="87"/>
      <c r="J190" s="85"/>
      <c r="K190" s="85"/>
      <c r="L190" s="85" t="s">
        <v>196</v>
      </c>
      <c r="M190" s="77"/>
      <c r="N190" s="77">
        <v>30.28</v>
      </c>
      <c r="O190" s="77"/>
      <c r="P190" s="77" t="s">
        <v>94</v>
      </c>
      <c r="Q190" s="77" t="s">
        <v>95</v>
      </c>
    </row>
    <row r="191" spans="1:17" ht="30" customHeight="1" x14ac:dyDescent="0.15">
      <c r="A191" s="95"/>
      <c r="B191" s="85" t="s">
        <v>314</v>
      </c>
      <c r="C191" s="85">
        <v>39.25</v>
      </c>
      <c r="D191" s="86">
        <v>1.81</v>
      </c>
      <c r="E191" s="87">
        <v>1.623</v>
      </c>
      <c r="F191" s="87">
        <f>ROUND(E191/C191*G220,3)</f>
        <v>0.70299999999999996</v>
      </c>
      <c r="G191" s="85" t="s">
        <v>57</v>
      </c>
      <c r="H191" s="85" t="s">
        <v>50</v>
      </c>
      <c r="I191" s="87"/>
      <c r="J191" s="85"/>
      <c r="K191" s="85"/>
      <c r="L191" s="85" t="s">
        <v>196</v>
      </c>
      <c r="M191" s="77"/>
      <c r="N191" s="77">
        <v>39.25</v>
      </c>
      <c r="O191" s="77"/>
      <c r="P191" s="77" t="s">
        <v>94</v>
      </c>
      <c r="Q191" s="77" t="s">
        <v>95</v>
      </c>
    </row>
    <row r="192" spans="1:17" ht="30" customHeight="1" x14ac:dyDescent="0.15">
      <c r="A192" s="95"/>
      <c r="B192" s="85" t="s">
        <v>315</v>
      </c>
      <c r="C192" s="85">
        <v>15.75</v>
      </c>
      <c r="D192" s="86">
        <v>1.65</v>
      </c>
      <c r="E192" s="87">
        <v>1.48</v>
      </c>
      <c r="F192" s="87">
        <f>ROUND(E192/C192*G220,3)</f>
        <v>1.597</v>
      </c>
      <c r="G192" s="85" t="s">
        <v>57</v>
      </c>
      <c r="H192" s="85" t="s">
        <v>50</v>
      </c>
      <c r="I192" s="87"/>
      <c r="J192" s="85"/>
      <c r="K192" s="85"/>
      <c r="L192" s="85" t="s">
        <v>196</v>
      </c>
      <c r="M192" s="77"/>
      <c r="N192" s="77">
        <v>15.75</v>
      </c>
      <c r="O192" s="77"/>
      <c r="P192" s="77" t="s">
        <v>94</v>
      </c>
      <c r="Q192" s="77" t="s">
        <v>95</v>
      </c>
    </row>
    <row r="193" spans="1:17" ht="30" customHeight="1" x14ac:dyDescent="0.15">
      <c r="A193" s="95"/>
      <c r="B193" s="85" t="s">
        <v>316</v>
      </c>
      <c r="C193" s="85">
        <v>42.09</v>
      </c>
      <c r="D193" s="86">
        <v>1.7</v>
      </c>
      <c r="E193" s="87">
        <v>1.5249999999999999</v>
      </c>
      <c r="F193" s="87">
        <f>ROUND(E193/C193*G220,3)</f>
        <v>0.61599999999999999</v>
      </c>
      <c r="G193" s="85" t="s">
        <v>57</v>
      </c>
      <c r="H193" s="85" t="s">
        <v>50</v>
      </c>
      <c r="I193" s="87"/>
      <c r="J193" s="85"/>
      <c r="K193" s="85"/>
      <c r="L193" s="85" t="s">
        <v>196</v>
      </c>
      <c r="M193" s="77"/>
      <c r="N193" s="77">
        <v>42.09</v>
      </c>
      <c r="O193" s="77"/>
      <c r="P193" s="77" t="s">
        <v>94</v>
      </c>
      <c r="Q193" s="77" t="s">
        <v>95</v>
      </c>
    </row>
    <row r="194" spans="1:17" ht="30" customHeight="1" x14ac:dyDescent="0.15">
      <c r="A194" s="95"/>
      <c r="B194" s="85" t="s">
        <v>317</v>
      </c>
      <c r="C194" s="85">
        <v>40.119999999999997</v>
      </c>
      <c r="D194" s="86">
        <v>1.45</v>
      </c>
      <c r="E194" s="87">
        <v>1.3</v>
      </c>
      <c r="F194" s="87">
        <f>ROUND(E194/C194*G220,3)</f>
        <v>0.55100000000000005</v>
      </c>
      <c r="G194" s="85" t="s">
        <v>57</v>
      </c>
      <c r="H194" s="85" t="s">
        <v>50</v>
      </c>
      <c r="I194" s="87"/>
      <c r="J194" s="85"/>
      <c r="K194" s="85"/>
      <c r="L194" s="85" t="s">
        <v>196</v>
      </c>
      <c r="M194" s="77"/>
      <c r="N194" s="77">
        <v>40.119999999999997</v>
      </c>
      <c r="O194" s="77"/>
      <c r="P194" s="77" t="s">
        <v>94</v>
      </c>
      <c r="Q194" s="77" t="s">
        <v>95</v>
      </c>
    </row>
    <row r="195" spans="1:17" ht="30" customHeight="1" x14ac:dyDescent="0.15">
      <c r="A195" s="95"/>
      <c r="B195" s="85" t="s">
        <v>318</v>
      </c>
      <c r="C195" s="85">
        <v>43.64</v>
      </c>
      <c r="D195" s="86">
        <v>1.77</v>
      </c>
      <c r="E195" s="87">
        <v>1.587</v>
      </c>
      <c r="F195" s="87">
        <f>ROUND(E195/C195*G220,3)</f>
        <v>0.61799999999999999</v>
      </c>
      <c r="G195" s="85" t="s">
        <v>57</v>
      </c>
      <c r="H195" s="85" t="s">
        <v>50</v>
      </c>
      <c r="I195" s="87"/>
      <c r="J195" s="85"/>
      <c r="K195" s="85"/>
      <c r="L195" s="85" t="s">
        <v>196</v>
      </c>
      <c r="M195" s="77"/>
      <c r="N195" s="77">
        <v>43.64</v>
      </c>
      <c r="O195" s="77"/>
      <c r="P195" s="77" t="s">
        <v>94</v>
      </c>
      <c r="Q195" s="77" t="s">
        <v>95</v>
      </c>
    </row>
    <row r="196" spans="1:17" ht="30" customHeight="1" x14ac:dyDescent="0.15">
      <c r="A196" s="95"/>
      <c r="B196" s="85" t="s">
        <v>319</v>
      </c>
      <c r="C196" s="85">
        <v>39.58</v>
      </c>
      <c r="D196" s="86">
        <v>1.66</v>
      </c>
      <c r="E196" s="87">
        <v>1.4890000000000001</v>
      </c>
      <c r="F196" s="87">
        <f>ROUND(E196/C196*G220,3)</f>
        <v>0.64</v>
      </c>
      <c r="G196" s="85" t="s">
        <v>57</v>
      </c>
      <c r="H196" s="85" t="s">
        <v>50</v>
      </c>
      <c r="I196" s="87"/>
      <c r="J196" s="85"/>
      <c r="K196" s="85"/>
      <c r="L196" s="85" t="s">
        <v>196</v>
      </c>
      <c r="M196" s="77"/>
      <c r="N196" s="77">
        <v>39.58</v>
      </c>
      <c r="O196" s="77"/>
      <c r="P196" s="77" t="s">
        <v>94</v>
      </c>
      <c r="Q196" s="77" t="s">
        <v>95</v>
      </c>
    </row>
    <row r="197" spans="1:17" ht="30" customHeight="1" x14ac:dyDescent="0.15">
      <c r="A197" s="95"/>
      <c r="B197" s="85" t="s">
        <v>320</v>
      </c>
      <c r="C197" s="85">
        <v>40.340000000000003</v>
      </c>
      <c r="D197" s="86">
        <v>1.66</v>
      </c>
      <c r="E197" s="87">
        <v>1.4890000000000001</v>
      </c>
      <c r="F197" s="87">
        <f>ROUND(E197/C197*G220,3)</f>
        <v>0.627</v>
      </c>
      <c r="G197" s="85" t="s">
        <v>57</v>
      </c>
      <c r="H197" s="85" t="s">
        <v>50</v>
      </c>
      <c r="I197" s="87"/>
      <c r="J197" s="85"/>
      <c r="K197" s="85"/>
      <c r="L197" s="85" t="s">
        <v>196</v>
      </c>
      <c r="M197" s="77"/>
      <c r="N197" s="77">
        <v>40.340000000000003</v>
      </c>
      <c r="O197" s="77"/>
      <c r="P197" s="77" t="s">
        <v>94</v>
      </c>
      <c r="Q197" s="77" t="s">
        <v>95</v>
      </c>
    </row>
    <row r="198" spans="1:17" ht="30" customHeight="1" x14ac:dyDescent="0.15">
      <c r="A198" s="95"/>
      <c r="B198" s="85" t="s">
        <v>321</v>
      </c>
      <c r="C198" s="85">
        <v>44.55</v>
      </c>
      <c r="D198" s="86">
        <v>1.65</v>
      </c>
      <c r="E198" s="87">
        <v>1.48</v>
      </c>
      <c r="F198" s="87">
        <f>ROUND(E198/C198*G220,3)</f>
        <v>0.56499999999999995</v>
      </c>
      <c r="G198" s="85" t="s">
        <v>57</v>
      </c>
      <c r="H198" s="85" t="s">
        <v>50</v>
      </c>
      <c r="I198" s="87"/>
      <c r="J198" s="85"/>
      <c r="K198" s="85"/>
      <c r="L198" s="85" t="s">
        <v>196</v>
      </c>
      <c r="M198" s="77"/>
      <c r="N198" s="77">
        <v>44.55</v>
      </c>
      <c r="O198" s="77"/>
      <c r="P198" s="77" t="s">
        <v>94</v>
      </c>
      <c r="Q198" s="77" t="s">
        <v>95</v>
      </c>
    </row>
    <row r="199" spans="1:17" ht="30" customHeight="1" x14ac:dyDescent="0.15">
      <c r="A199" s="95"/>
      <c r="B199" s="85" t="s">
        <v>322</v>
      </c>
      <c r="C199" s="85">
        <v>43.41</v>
      </c>
      <c r="D199" s="86">
        <v>2.09</v>
      </c>
      <c r="E199" s="87">
        <v>1.8740000000000001</v>
      </c>
      <c r="F199" s="87">
        <f>ROUND(E199/C199*G220,3)</f>
        <v>0.73399999999999999</v>
      </c>
      <c r="G199" s="85" t="s">
        <v>57</v>
      </c>
      <c r="H199" s="85" t="s">
        <v>50</v>
      </c>
      <c r="I199" s="87"/>
      <c r="J199" s="85"/>
      <c r="K199" s="85"/>
      <c r="L199" s="85" t="s">
        <v>196</v>
      </c>
      <c r="M199" s="77"/>
      <c r="N199" s="77">
        <v>43.41</v>
      </c>
      <c r="O199" s="77"/>
      <c r="P199" s="77" t="s">
        <v>94</v>
      </c>
      <c r="Q199" s="77" t="s">
        <v>95</v>
      </c>
    </row>
    <row r="200" spans="1:17" ht="30" customHeight="1" x14ac:dyDescent="0.15">
      <c r="A200" s="95"/>
      <c r="B200" s="85" t="s">
        <v>323</v>
      </c>
      <c r="C200" s="85">
        <v>25</v>
      </c>
      <c r="D200" s="86">
        <v>1.58</v>
      </c>
      <c r="E200" s="87">
        <v>1.417</v>
      </c>
      <c r="F200" s="87">
        <f>ROUND(E200/C200*G220,3)</f>
        <v>0.96399999999999997</v>
      </c>
      <c r="G200" s="85" t="s">
        <v>57</v>
      </c>
      <c r="H200" s="85" t="s">
        <v>50</v>
      </c>
      <c r="I200" s="87"/>
      <c r="J200" s="85"/>
      <c r="K200" s="85"/>
      <c r="L200" s="85" t="s">
        <v>196</v>
      </c>
      <c r="M200" s="77"/>
      <c r="N200" s="77">
        <v>25</v>
      </c>
      <c r="O200" s="77"/>
      <c r="P200" s="77" t="s">
        <v>94</v>
      </c>
      <c r="Q200" s="77" t="s">
        <v>95</v>
      </c>
    </row>
    <row r="201" spans="1:17" ht="30" customHeight="1" x14ac:dyDescent="0.15">
      <c r="A201" s="95"/>
      <c r="B201" s="85" t="s">
        <v>324</v>
      </c>
      <c r="C201" s="85">
        <v>24.43</v>
      </c>
      <c r="D201" s="86">
        <v>0.98</v>
      </c>
      <c r="E201" s="87">
        <v>0.879</v>
      </c>
      <c r="F201" s="87">
        <f>ROUND(E201/C201*G220,3)</f>
        <v>0.61199999999999999</v>
      </c>
      <c r="G201" s="85" t="s">
        <v>57</v>
      </c>
      <c r="H201" s="85" t="s">
        <v>50</v>
      </c>
      <c r="I201" s="87"/>
      <c r="J201" s="85"/>
      <c r="K201" s="85"/>
      <c r="L201" s="85" t="s">
        <v>196</v>
      </c>
      <c r="M201" s="77"/>
      <c r="N201" s="77">
        <v>24.43</v>
      </c>
      <c r="O201" s="77"/>
      <c r="P201" s="77" t="s">
        <v>94</v>
      </c>
      <c r="Q201" s="77" t="s">
        <v>95</v>
      </c>
    </row>
    <row r="202" spans="1:17" ht="30" customHeight="1" x14ac:dyDescent="0.15">
      <c r="A202" s="95"/>
      <c r="B202" s="85" t="s">
        <v>325</v>
      </c>
      <c r="C202" s="85">
        <v>43.23</v>
      </c>
      <c r="D202" s="86">
        <v>1.7</v>
      </c>
      <c r="E202" s="87">
        <v>1.5249999999999999</v>
      </c>
      <c r="F202" s="87">
        <f>ROUND(E202/C202*G220,3)</f>
        <v>0.6</v>
      </c>
      <c r="G202" s="85" t="s">
        <v>57</v>
      </c>
      <c r="H202" s="85" t="s">
        <v>50</v>
      </c>
      <c r="I202" s="87"/>
      <c r="J202" s="85"/>
      <c r="K202" s="85"/>
      <c r="L202" s="85" t="s">
        <v>196</v>
      </c>
      <c r="M202" s="77"/>
      <c r="N202" s="77">
        <v>43.23</v>
      </c>
      <c r="O202" s="77"/>
      <c r="P202" s="77" t="s">
        <v>94</v>
      </c>
      <c r="Q202" s="77" t="s">
        <v>95</v>
      </c>
    </row>
    <row r="203" spans="1:17" ht="30" customHeight="1" x14ac:dyDescent="0.15">
      <c r="A203" s="95"/>
      <c r="B203" s="85" t="s">
        <v>326</v>
      </c>
      <c r="C203" s="85">
        <v>77.62</v>
      </c>
      <c r="D203" s="86">
        <v>3.1</v>
      </c>
      <c r="E203" s="87">
        <v>2.78</v>
      </c>
      <c r="F203" s="87">
        <f>ROUND(E203/C203*G220,3)</f>
        <v>0.60899999999999999</v>
      </c>
      <c r="G203" s="85" t="s">
        <v>57</v>
      </c>
      <c r="H203" s="85" t="s">
        <v>50</v>
      </c>
      <c r="I203" s="87"/>
      <c r="J203" s="85"/>
      <c r="K203" s="85"/>
      <c r="L203" s="85" t="s">
        <v>196</v>
      </c>
      <c r="M203" s="77"/>
      <c r="N203" s="77">
        <v>77.62</v>
      </c>
      <c r="O203" s="77"/>
      <c r="P203" s="77" t="s">
        <v>94</v>
      </c>
      <c r="Q203" s="77" t="s">
        <v>95</v>
      </c>
    </row>
    <row r="204" spans="1:17" ht="30" customHeight="1" x14ac:dyDescent="0.15">
      <c r="A204" s="95"/>
      <c r="B204" s="85" t="s">
        <v>327</v>
      </c>
      <c r="C204" s="85">
        <v>42.05</v>
      </c>
      <c r="D204" s="86">
        <v>1.46</v>
      </c>
      <c r="E204" s="87">
        <v>1.3089999999999999</v>
      </c>
      <c r="F204" s="87">
        <f>ROUND(E204/C204*G220,3)</f>
        <v>0.52900000000000003</v>
      </c>
      <c r="G204" s="85" t="s">
        <v>57</v>
      </c>
      <c r="H204" s="85" t="s">
        <v>50</v>
      </c>
      <c r="I204" s="87"/>
      <c r="J204" s="85"/>
      <c r="K204" s="85"/>
      <c r="L204" s="85" t="s">
        <v>196</v>
      </c>
      <c r="M204" s="77"/>
      <c r="N204" s="77">
        <v>42.05</v>
      </c>
      <c r="O204" s="77"/>
      <c r="P204" s="77" t="s">
        <v>94</v>
      </c>
      <c r="Q204" s="77" t="s">
        <v>95</v>
      </c>
    </row>
    <row r="205" spans="1:17" ht="30" customHeight="1" x14ac:dyDescent="0.15">
      <c r="A205" s="95"/>
      <c r="B205" s="85" t="s">
        <v>328</v>
      </c>
      <c r="C205" s="85">
        <v>34.39</v>
      </c>
      <c r="D205" s="86">
        <v>1.1399999999999999</v>
      </c>
      <c r="E205" s="87">
        <v>1.022</v>
      </c>
      <c r="F205" s="87">
        <f>ROUND(E205/C205*G220,3)</f>
        <v>0.505</v>
      </c>
      <c r="G205" s="85" t="s">
        <v>57</v>
      </c>
      <c r="H205" s="85" t="s">
        <v>50</v>
      </c>
      <c r="I205" s="87"/>
      <c r="J205" s="85"/>
      <c r="K205" s="85"/>
      <c r="L205" s="85" t="s">
        <v>196</v>
      </c>
      <c r="M205" s="77"/>
      <c r="N205" s="77">
        <v>34.39</v>
      </c>
      <c r="O205" s="77"/>
      <c r="P205" s="77" t="s">
        <v>94</v>
      </c>
      <c r="Q205" s="77" t="s">
        <v>95</v>
      </c>
    </row>
    <row r="206" spans="1:17" ht="30" customHeight="1" x14ac:dyDescent="0.15">
      <c r="A206" s="95"/>
      <c r="B206" s="85" t="s">
        <v>329</v>
      </c>
      <c r="C206" s="85">
        <v>42.03</v>
      </c>
      <c r="D206" s="86">
        <v>1.58</v>
      </c>
      <c r="E206" s="87">
        <v>1.417</v>
      </c>
      <c r="F206" s="87">
        <f>ROUND(E206/C206*G220,3)</f>
        <v>0.57299999999999995</v>
      </c>
      <c r="G206" s="85" t="s">
        <v>57</v>
      </c>
      <c r="H206" s="85" t="s">
        <v>50</v>
      </c>
      <c r="I206" s="87"/>
      <c r="J206" s="85"/>
      <c r="K206" s="85"/>
      <c r="L206" s="85" t="s">
        <v>196</v>
      </c>
      <c r="M206" s="77"/>
      <c r="N206" s="77">
        <v>42.03</v>
      </c>
      <c r="O206" s="77"/>
      <c r="P206" s="77" t="s">
        <v>94</v>
      </c>
      <c r="Q206" s="77" t="s">
        <v>95</v>
      </c>
    </row>
    <row r="207" spans="1:17" ht="30" customHeight="1" x14ac:dyDescent="0.15">
      <c r="A207" s="95"/>
      <c r="B207" s="85" t="s">
        <v>330</v>
      </c>
      <c r="C207" s="85">
        <v>36.476999999999997</v>
      </c>
      <c r="D207" s="86">
        <v>1.47</v>
      </c>
      <c r="E207" s="87">
        <v>1.3180000000000001</v>
      </c>
      <c r="F207" s="87">
        <f>ROUND(E207/C207*G220,3)</f>
        <v>0.61399999999999999</v>
      </c>
      <c r="G207" s="85" t="s">
        <v>57</v>
      </c>
      <c r="H207" s="85" t="s">
        <v>50</v>
      </c>
      <c r="I207" s="87"/>
      <c r="J207" s="85"/>
      <c r="K207" s="85"/>
      <c r="L207" s="85" t="s">
        <v>196</v>
      </c>
      <c r="M207" s="77"/>
      <c r="N207" s="77">
        <v>36.476999999999997</v>
      </c>
      <c r="O207" s="77"/>
      <c r="P207" s="77" t="s">
        <v>94</v>
      </c>
      <c r="Q207" s="77" t="s">
        <v>95</v>
      </c>
    </row>
    <row r="208" spans="1:17" ht="30" customHeight="1" x14ac:dyDescent="0.15">
      <c r="A208" s="95"/>
      <c r="B208" s="85" t="s">
        <v>331</v>
      </c>
      <c r="C208" s="85">
        <v>26.513999999999999</v>
      </c>
      <c r="D208" s="86">
        <v>1.04</v>
      </c>
      <c r="E208" s="87">
        <v>0.93300000000000005</v>
      </c>
      <c r="F208" s="87">
        <f>ROUND(E208/C208*G220,3)</f>
        <v>0.59799999999999998</v>
      </c>
      <c r="G208" s="85" t="s">
        <v>57</v>
      </c>
      <c r="H208" s="85" t="s">
        <v>50</v>
      </c>
      <c r="I208" s="87"/>
      <c r="J208" s="85"/>
      <c r="K208" s="85"/>
      <c r="L208" s="85" t="s">
        <v>196</v>
      </c>
      <c r="M208" s="77"/>
      <c r="N208" s="77">
        <v>26.513999999999999</v>
      </c>
      <c r="O208" s="77"/>
      <c r="P208" s="77" t="s">
        <v>94</v>
      </c>
      <c r="Q208" s="77" t="s">
        <v>95</v>
      </c>
    </row>
    <row r="209" spans="1:17" ht="30" customHeight="1" x14ac:dyDescent="0.15">
      <c r="A209" s="95"/>
      <c r="B209" s="85" t="s">
        <v>332</v>
      </c>
      <c r="C209" s="85">
        <v>43.046999999999997</v>
      </c>
      <c r="D209" s="86">
        <v>1.79</v>
      </c>
      <c r="E209" s="87">
        <v>1.605</v>
      </c>
      <c r="F209" s="87">
        <f>ROUND(E209/C209*G220,3)</f>
        <v>0.63400000000000001</v>
      </c>
      <c r="G209" s="85" t="s">
        <v>57</v>
      </c>
      <c r="H209" s="85" t="s">
        <v>50</v>
      </c>
      <c r="I209" s="87"/>
      <c r="J209" s="85"/>
      <c r="K209" s="85"/>
      <c r="L209" s="85" t="s">
        <v>196</v>
      </c>
      <c r="M209" s="77"/>
      <c r="N209" s="77">
        <v>43.046999999999997</v>
      </c>
      <c r="O209" s="77"/>
      <c r="P209" s="77" t="s">
        <v>94</v>
      </c>
      <c r="Q209" s="77" t="s">
        <v>95</v>
      </c>
    </row>
    <row r="210" spans="1:17" ht="30" customHeight="1" x14ac:dyDescent="0.15">
      <c r="A210" s="95"/>
      <c r="B210" s="85" t="s">
        <v>333</v>
      </c>
      <c r="C210" s="85">
        <v>31.86</v>
      </c>
      <c r="D210" s="86">
        <v>1.22</v>
      </c>
      <c r="E210" s="87">
        <v>1.0940000000000001</v>
      </c>
      <c r="F210" s="87">
        <f>ROUND(E210/C210*G220,3)</f>
        <v>0.58399999999999996</v>
      </c>
      <c r="G210" s="85" t="s">
        <v>57</v>
      </c>
      <c r="H210" s="85" t="s">
        <v>50</v>
      </c>
      <c r="I210" s="87"/>
      <c r="J210" s="85"/>
      <c r="K210" s="85"/>
      <c r="L210" s="85" t="s">
        <v>196</v>
      </c>
      <c r="M210" s="77"/>
      <c r="N210" s="77">
        <v>31.86</v>
      </c>
      <c r="O210" s="77"/>
      <c r="P210" s="77" t="s">
        <v>94</v>
      </c>
      <c r="Q210" s="77" t="s">
        <v>95</v>
      </c>
    </row>
    <row r="211" spans="1:17" ht="30" customHeight="1" x14ac:dyDescent="0.15">
      <c r="A211" s="95"/>
      <c r="B211" s="85" t="s">
        <v>334</v>
      </c>
      <c r="C211" s="85">
        <v>28.106999999999999</v>
      </c>
      <c r="D211" s="86">
        <v>1.72</v>
      </c>
      <c r="E211" s="87">
        <v>1.5429999999999999</v>
      </c>
      <c r="F211" s="87">
        <f>ROUND(E211/C211*G220,3)</f>
        <v>0.93300000000000005</v>
      </c>
      <c r="G211" s="85" t="s">
        <v>57</v>
      </c>
      <c r="H211" s="85" t="s">
        <v>50</v>
      </c>
      <c r="I211" s="87"/>
      <c r="J211" s="85"/>
      <c r="K211" s="85"/>
      <c r="L211" s="85" t="s">
        <v>196</v>
      </c>
      <c r="M211" s="77"/>
      <c r="N211" s="77">
        <v>28.106999999999999</v>
      </c>
      <c r="O211" s="77"/>
      <c r="P211" s="77" t="s">
        <v>94</v>
      </c>
      <c r="Q211" s="77" t="s">
        <v>95</v>
      </c>
    </row>
    <row r="212" spans="1:17" ht="30" customHeight="1" x14ac:dyDescent="0.15">
      <c r="A212" s="95"/>
      <c r="B212" s="85" t="s">
        <v>335</v>
      </c>
      <c r="C212" s="85">
        <v>32.292000000000002</v>
      </c>
      <c r="D212" s="86">
        <v>1.8</v>
      </c>
      <c r="E212" s="87">
        <v>1.6140000000000001</v>
      </c>
      <c r="F212" s="87">
        <f>ROUND(E212/C212*G220,3)</f>
        <v>0.85</v>
      </c>
      <c r="G212" s="85" t="s">
        <v>57</v>
      </c>
      <c r="H212" s="85" t="s">
        <v>50</v>
      </c>
      <c r="I212" s="87"/>
      <c r="J212" s="85"/>
      <c r="K212" s="85"/>
      <c r="L212" s="85" t="s">
        <v>196</v>
      </c>
      <c r="M212" s="77"/>
      <c r="N212" s="77">
        <v>32.292000000000002</v>
      </c>
      <c r="O212" s="77"/>
      <c r="P212" s="77" t="s">
        <v>94</v>
      </c>
      <c r="Q212" s="77" t="s">
        <v>95</v>
      </c>
    </row>
    <row r="213" spans="1:17" ht="30" customHeight="1" x14ac:dyDescent="0.15">
      <c r="A213" s="95"/>
      <c r="B213" s="85" t="s">
        <v>336</v>
      </c>
      <c r="C213" s="85">
        <v>44.469000000000001</v>
      </c>
      <c r="D213" s="86">
        <v>1.47</v>
      </c>
      <c r="E213" s="87">
        <v>1.3180000000000001</v>
      </c>
      <c r="F213" s="87">
        <f>ROUND(E213/C213*G220,3)</f>
        <v>0.504</v>
      </c>
      <c r="G213" s="85" t="s">
        <v>57</v>
      </c>
      <c r="H213" s="85" t="s">
        <v>50</v>
      </c>
      <c r="I213" s="87"/>
      <c r="J213" s="85"/>
      <c r="K213" s="85"/>
      <c r="L213" s="85" t="s">
        <v>196</v>
      </c>
      <c r="M213" s="77"/>
      <c r="N213" s="77">
        <v>44.469000000000001</v>
      </c>
      <c r="O213" s="77"/>
      <c r="P213" s="77" t="s">
        <v>94</v>
      </c>
      <c r="Q213" s="77" t="s">
        <v>95</v>
      </c>
    </row>
    <row r="214" spans="1:17" ht="30" customHeight="1" x14ac:dyDescent="0.15">
      <c r="A214" s="95"/>
      <c r="B214" s="85" t="s">
        <v>337</v>
      </c>
      <c r="C214" s="85">
        <v>50.29</v>
      </c>
      <c r="D214" s="86">
        <v>2.97</v>
      </c>
      <c r="E214" s="87">
        <v>2.6640000000000001</v>
      </c>
      <c r="F214" s="87">
        <f>ROUND(E214/C214*G220,3)</f>
        <v>0.90100000000000002</v>
      </c>
      <c r="G214" s="85" t="s">
        <v>57</v>
      </c>
      <c r="H214" s="85" t="s">
        <v>50</v>
      </c>
      <c r="I214" s="87"/>
      <c r="J214" s="85"/>
      <c r="K214" s="85"/>
      <c r="L214" s="85" t="s">
        <v>103</v>
      </c>
      <c r="M214" s="77"/>
      <c r="N214" s="77">
        <v>50.29</v>
      </c>
      <c r="O214" s="77"/>
      <c r="P214" s="77" t="s">
        <v>94</v>
      </c>
      <c r="Q214" s="77" t="s">
        <v>95</v>
      </c>
    </row>
    <row r="215" spans="1:17" ht="30" customHeight="1" x14ac:dyDescent="0.15">
      <c r="A215" s="95"/>
      <c r="B215" s="85" t="s">
        <v>338</v>
      </c>
      <c r="C215" s="85">
        <v>42.98</v>
      </c>
      <c r="D215" s="86">
        <v>1.79</v>
      </c>
      <c r="E215" s="87">
        <v>1.605</v>
      </c>
      <c r="F215" s="87">
        <f>ROUND(E215/C215*G220,3)</f>
        <v>0.63500000000000001</v>
      </c>
      <c r="G215" s="85" t="s">
        <v>57</v>
      </c>
      <c r="H215" s="85" t="s">
        <v>50</v>
      </c>
      <c r="I215" s="87"/>
      <c r="J215" s="85"/>
      <c r="K215" s="85"/>
      <c r="L215" s="85" t="s">
        <v>196</v>
      </c>
      <c r="M215" s="77"/>
      <c r="N215" s="77">
        <v>42.98</v>
      </c>
      <c r="O215" s="77"/>
      <c r="P215" s="77" t="s">
        <v>94</v>
      </c>
      <c r="Q215" s="77" t="s">
        <v>95</v>
      </c>
    </row>
    <row r="216" spans="1:17" ht="30" customHeight="1" x14ac:dyDescent="0.15">
      <c r="A216" s="95"/>
      <c r="B216" s="85" t="s">
        <v>339</v>
      </c>
      <c r="C216" s="85">
        <v>54.54</v>
      </c>
      <c r="D216" s="86">
        <v>2.12</v>
      </c>
      <c r="E216" s="87">
        <v>1.901</v>
      </c>
      <c r="F216" s="87">
        <f>ROUND(E216/C216*G220,3)</f>
        <v>0.59299999999999997</v>
      </c>
      <c r="G216" s="85" t="s">
        <v>57</v>
      </c>
      <c r="H216" s="85" t="s">
        <v>50</v>
      </c>
      <c r="I216" s="87"/>
      <c r="J216" s="85"/>
      <c r="K216" s="85"/>
      <c r="L216" s="85" t="s">
        <v>103</v>
      </c>
      <c r="M216" s="77"/>
      <c r="N216" s="77">
        <v>54.54</v>
      </c>
      <c r="O216" s="77"/>
      <c r="P216" s="77" t="s">
        <v>94</v>
      </c>
      <c r="Q216" s="77" t="s">
        <v>95</v>
      </c>
    </row>
    <row r="217" spans="1:17" ht="30" customHeight="1" x14ac:dyDescent="0.15">
      <c r="A217" s="95"/>
      <c r="B217" s="85" t="s">
        <v>340</v>
      </c>
      <c r="C217" s="85">
        <v>54.22</v>
      </c>
      <c r="D217" s="86">
        <v>2.39</v>
      </c>
      <c r="E217" s="87">
        <v>2.1429999999999998</v>
      </c>
      <c r="F217" s="87">
        <f>ROUND(E217/C217*G220,3)</f>
        <v>0.67200000000000004</v>
      </c>
      <c r="G217" s="85" t="s">
        <v>57</v>
      </c>
      <c r="H217" s="85" t="s">
        <v>50</v>
      </c>
      <c r="I217" s="87"/>
      <c r="J217" s="85"/>
      <c r="K217" s="85"/>
      <c r="L217" s="85" t="s">
        <v>103</v>
      </c>
      <c r="M217" s="77"/>
      <c r="N217" s="77">
        <v>54.22</v>
      </c>
      <c r="O217" s="77"/>
      <c r="P217" s="77" t="s">
        <v>94</v>
      </c>
      <c r="Q217" s="77" t="s">
        <v>95</v>
      </c>
    </row>
    <row r="218" spans="1:17" ht="30" customHeight="1" x14ac:dyDescent="0.15">
      <c r="A218" s="95"/>
      <c r="B218" s="85" t="s">
        <v>341</v>
      </c>
      <c r="C218" s="85">
        <v>16.809999999999999</v>
      </c>
      <c r="D218" s="86">
        <v>0.96</v>
      </c>
      <c r="E218" s="87">
        <v>0.86099999999999999</v>
      </c>
      <c r="F218" s="87">
        <f>ROUND(E218/C218*G220,3)</f>
        <v>0.871</v>
      </c>
      <c r="G218" s="85" t="s">
        <v>57</v>
      </c>
      <c r="H218" s="85" t="s">
        <v>50</v>
      </c>
      <c r="I218" s="87"/>
      <c r="J218" s="85"/>
      <c r="K218" s="85"/>
      <c r="L218" s="85" t="s">
        <v>103</v>
      </c>
      <c r="M218" s="77"/>
      <c r="N218" s="77">
        <v>16.809999999999999</v>
      </c>
      <c r="O218" s="77"/>
      <c r="P218" s="77" t="s">
        <v>94</v>
      </c>
      <c r="Q218" s="77" t="s">
        <v>95</v>
      </c>
    </row>
    <row r="219" spans="1:17" ht="30" customHeight="1" x14ac:dyDescent="0.15">
      <c r="A219" s="94"/>
      <c r="B219" s="85" t="s">
        <v>342</v>
      </c>
      <c r="C219" s="85">
        <v>41</v>
      </c>
      <c r="D219" s="86">
        <v>1.64</v>
      </c>
      <c r="E219" s="87">
        <v>1.4710000000000001</v>
      </c>
      <c r="F219" s="87">
        <f>ROUND(E219/C219*G220,3)</f>
        <v>0.61</v>
      </c>
      <c r="G219" s="85" t="s">
        <v>57</v>
      </c>
      <c r="H219" s="85" t="s">
        <v>50</v>
      </c>
      <c r="I219" s="87"/>
      <c r="J219" s="85"/>
      <c r="K219" s="85"/>
      <c r="L219" s="85" t="s">
        <v>103</v>
      </c>
      <c r="M219" s="77"/>
      <c r="N219" s="77">
        <v>41</v>
      </c>
      <c r="O219" s="77"/>
      <c r="P219" s="77" t="s">
        <v>94</v>
      </c>
      <c r="Q219" s="77" t="s">
        <v>95</v>
      </c>
    </row>
    <row r="220" spans="1:17" ht="30" customHeight="1" x14ac:dyDescent="0.2">
      <c r="A220" s="78"/>
      <c r="B220" s="78"/>
      <c r="C220" s="78"/>
      <c r="D220" s="81">
        <f>ROUND(SUM(D186:D219),2)</f>
        <v>55.75</v>
      </c>
      <c r="E220" s="82">
        <v>49.997999999999998</v>
      </c>
      <c r="F220" s="82">
        <f>IF(G220&gt;1,ROUND(SUM(F186:F219)/G220*2,3),ROUND(SUM(F186:F219),3))</f>
        <v>2.7650000000000001</v>
      </c>
      <c r="G220" s="77">
        <v>17</v>
      </c>
      <c r="H220" s="78"/>
      <c r="I220" s="88">
        <f>ROUND(20-F220,3)</f>
        <v>17.234999999999999</v>
      </c>
      <c r="J220" s="78"/>
      <c r="K220" s="78"/>
      <c r="L220" s="78"/>
      <c r="M220" s="77" t="e">
        <f>AVERAGE(M186:M219)</f>
        <v>#DIV/0!</v>
      </c>
      <c r="N220" s="78"/>
      <c r="O220" s="78"/>
      <c r="P220" s="78"/>
      <c r="Q220" s="78"/>
    </row>
    <row r="221" spans="1:17" ht="30" customHeight="1" x14ac:dyDescent="0.15">
      <c r="A221" s="93" t="s">
        <v>59</v>
      </c>
      <c r="B221" s="85" t="s">
        <v>343</v>
      </c>
      <c r="C221" s="85">
        <v>16.2</v>
      </c>
      <c r="D221" s="86">
        <v>150</v>
      </c>
      <c r="E221" s="87">
        <v>12.5</v>
      </c>
      <c r="F221" s="87">
        <f>ROUND(E221/C221*G225,3)</f>
        <v>0.77200000000000002</v>
      </c>
      <c r="G221" s="85" t="s">
        <v>60</v>
      </c>
      <c r="H221" s="85" t="s">
        <v>61</v>
      </c>
      <c r="I221" s="87"/>
      <c r="J221" s="85"/>
      <c r="K221" s="85"/>
      <c r="L221" s="85"/>
      <c r="M221" s="77">
        <v>405</v>
      </c>
      <c r="N221" s="77">
        <v>16.2</v>
      </c>
      <c r="O221" s="77" t="s">
        <v>93</v>
      </c>
      <c r="P221" s="77" t="s">
        <v>94</v>
      </c>
      <c r="Q221" s="77" t="s">
        <v>95</v>
      </c>
    </row>
    <row r="222" spans="1:17" s="28" customFormat="1" ht="30" customHeight="1" x14ac:dyDescent="0.15">
      <c r="A222" s="95"/>
      <c r="B222" s="85" t="s">
        <v>344</v>
      </c>
      <c r="C222" s="85">
        <v>20.399999999999999</v>
      </c>
      <c r="D222" s="86">
        <v>150</v>
      </c>
      <c r="E222" s="87">
        <v>12.5</v>
      </c>
      <c r="F222" s="87">
        <f>ROUND(E222/C222*G225,3)</f>
        <v>0.61299999999999999</v>
      </c>
      <c r="G222" s="85" t="s">
        <v>60</v>
      </c>
      <c r="H222" s="85" t="s">
        <v>61</v>
      </c>
      <c r="I222" s="87"/>
      <c r="J222" s="85"/>
      <c r="K222" s="85"/>
      <c r="L222" s="85"/>
      <c r="M222" s="77">
        <v>403</v>
      </c>
      <c r="N222" s="77">
        <v>20.399999999999999</v>
      </c>
      <c r="O222" s="77" t="s">
        <v>93</v>
      </c>
      <c r="P222" s="77" t="s">
        <v>94</v>
      </c>
      <c r="Q222" s="77" t="s">
        <v>95</v>
      </c>
    </row>
    <row r="223" spans="1:17" s="28" customFormat="1" ht="30" customHeight="1" x14ac:dyDescent="0.15">
      <c r="A223" s="95"/>
      <c r="B223" s="85" t="s">
        <v>345</v>
      </c>
      <c r="C223" s="85">
        <v>12.2</v>
      </c>
      <c r="D223" s="86">
        <v>150</v>
      </c>
      <c r="E223" s="87">
        <v>12.5</v>
      </c>
      <c r="F223" s="87">
        <f>ROUND(E223/C223*G225,3)</f>
        <v>1.0249999999999999</v>
      </c>
      <c r="G223" s="85" t="s">
        <v>60</v>
      </c>
      <c r="H223" s="85" t="s">
        <v>61</v>
      </c>
      <c r="I223" s="87"/>
      <c r="J223" s="85"/>
      <c r="K223" s="85"/>
      <c r="L223" s="85"/>
      <c r="M223" s="77">
        <v>415</v>
      </c>
      <c r="N223" s="77">
        <v>12.2</v>
      </c>
      <c r="O223" s="77" t="s">
        <v>93</v>
      </c>
      <c r="P223" s="77" t="s">
        <v>94</v>
      </c>
      <c r="Q223" s="77" t="s">
        <v>95</v>
      </c>
    </row>
    <row r="224" spans="1:17" s="28" customFormat="1" ht="30" customHeight="1" x14ac:dyDescent="0.15">
      <c r="A224" s="94"/>
      <c r="B224" s="85" t="s">
        <v>346</v>
      </c>
      <c r="C224" s="85">
        <v>7.68</v>
      </c>
      <c r="D224" s="86">
        <v>150</v>
      </c>
      <c r="E224" s="87">
        <v>12.5</v>
      </c>
      <c r="F224" s="87">
        <f>ROUND(E224/C224*G225,3)</f>
        <v>1.6279999999999999</v>
      </c>
      <c r="G224" s="85" t="s">
        <v>60</v>
      </c>
      <c r="H224" s="85" t="s">
        <v>61</v>
      </c>
      <c r="I224" s="87"/>
      <c r="J224" s="85"/>
      <c r="K224" s="85"/>
      <c r="L224" s="85"/>
      <c r="M224" s="77">
        <v>419</v>
      </c>
      <c r="N224" s="77">
        <v>7.68</v>
      </c>
      <c r="O224" s="77" t="s">
        <v>93</v>
      </c>
      <c r="P224" s="77" t="s">
        <v>94</v>
      </c>
      <c r="Q224" s="77" t="s">
        <v>95</v>
      </c>
    </row>
    <row r="225" spans="1:17" ht="30" customHeight="1" x14ac:dyDescent="0.2">
      <c r="A225" s="78"/>
      <c r="B225" s="78"/>
      <c r="C225" s="78"/>
      <c r="D225" s="81">
        <f>ROUND(SUM(D221:D224),2)</f>
        <v>600</v>
      </c>
      <c r="E225" s="82">
        <v>50</v>
      </c>
      <c r="F225" s="82">
        <f>IF(G225&gt;1,ROUND(SUM(F221:F224)/G225*2,3),ROUND(SUM(F221:F224),3))</f>
        <v>4.0380000000000003</v>
      </c>
      <c r="G225" s="77">
        <v>1</v>
      </c>
      <c r="H225" s="78"/>
      <c r="I225" s="88">
        <f>ROUND(20-F225,3)</f>
        <v>15.962</v>
      </c>
      <c r="J225" s="78"/>
      <c r="K225" s="78"/>
      <c r="L225" s="78"/>
      <c r="M225" s="77">
        <f>AVERAGE(M221:M224)</f>
        <v>410.5</v>
      </c>
      <c r="N225" s="78"/>
      <c r="O225" s="78"/>
      <c r="P225" s="78"/>
      <c r="Q225" s="78"/>
    </row>
    <row r="226" spans="1:17" s="28" customFormat="1" ht="30" customHeight="1" x14ac:dyDescent="0.15">
      <c r="A226" s="93" t="s">
        <v>62</v>
      </c>
      <c r="B226" s="85" t="s">
        <v>347</v>
      </c>
      <c r="C226" s="85">
        <v>4.38</v>
      </c>
      <c r="D226" s="86">
        <v>250</v>
      </c>
      <c r="E226" s="87">
        <v>31.25</v>
      </c>
      <c r="F226" s="87">
        <f>ROUND(E226/C226*G228,3)</f>
        <v>7.1349999999999998</v>
      </c>
      <c r="G226" s="85" t="s">
        <v>60</v>
      </c>
      <c r="H226" s="85" t="s">
        <v>61</v>
      </c>
      <c r="I226" s="87"/>
      <c r="J226" s="85"/>
      <c r="K226" s="85"/>
      <c r="L226" s="85"/>
      <c r="M226" s="77" t="s">
        <v>348</v>
      </c>
      <c r="N226" s="77">
        <v>4.38</v>
      </c>
      <c r="O226" s="77" t="s">
        <v>93</v>
      </c>
      <c r="P226" s="77" t="s">
        <v>94</v>
      </c>
      <c r="Q226" s="77" t="s">
        <v>95</v>
      </c>
    </row>
    <row r="227" spans="1:17" s="28" customFormat="1" ht="30" customHeight="1" x14ac:dyDescent="0.15">
      <c r="A227" s="94"/>
      <c r="B227" s="85" t="s">
        <v>349</v>
      </c>
      <c r="C227" s="85">
        <v>2.94</v>
      </c>
      <c r="D227" s="86">
        <v>150</v>
      </c>
      <c r="E227" s="87">
        <v>18.75</v>
      </c>
      <c r="F227" s="87">
        <f>ROUND(E227/C227*G228,3)</f>
        <v>6.3780000000000001</v>
      </c>
      <c r="G227" s="85" t="s">
        <v>60</v>
      </c>
      <c r="H227" s="85" t="s">
        <v>61</v>
      </c>
      <c r="I227" s="87"/>
      <c r="J227" s="85"/>
      <c r="K227" s="85"/>
      <c r="L227" s="85"/>
      <c r="M227" s="77" t="s">
        <v>348</v>
      </c>
      <c r="N227" s="77">
        <v>2.94</v>
      </c>
      <c r="O227" s="77" t="s">
        <v>93</v>
      </c>
      <c r="P227" s="77" t="s">
        <v>94</v>
      </c>
      <c r="Q227" s="77" t="s">
        <v>95</v>
      </c>
    </row>
    <row r="228" spans="1:17" s="28" customFormat="1" ht="30" customHeight="1" x14ac:dyDescent="0.2">
      <c r="A228" s="78"/>
      <c r="B228" s="78"/>
      <c r="C228" s="78"/>
      <c r="D228" s="81">
        <f>ROUND(SUM(D226:D227),2)</f>
        <v>400</v>
      </c>
      <c r="E228" s="82">
        <v>50</v>
      </c>
      <c r="F228" s="82">
        <f>IF(G228&gt;1,ROUND(SUM(F226:F227)/G228*2,3),ROUND(SUM(F226:F227),3))</f>
        <v>13.513</v>
      </c>
      <c r="G228" s="77">
        <v>1</v>
      </c>
      <c r="H228" s="78"/>
      <c r="I228" s="88">
        <f>ROUND(20-F228,3)</f>
        <v>6.4870000000000001</v>
      </c>
      <c r="J228" s="78"/>
      <c r="K228" s="78"/>
      <c r="L228" s="78"/>
      <c r="M228" s="77" t="e">
        <f>AVERAGE(M226:M227)</f>
        <v>#DIV/0!</v>
      </c>
      <c r="N228" s="78"/>
      <c r="O228" s="78"/>
      <c r="P228" s="78"/>
      <c r="Q228" s="78"/>
    </row>
    <row r="229" spans="1:17" ht="30" customHeight="1" x14ac:dyDescent="0.15">
      <c r="A229" s="93" t="s">
        <v>63</v>
      </c>
      <c r="B229" s="85" t="s">
        <v>350</v>
      </c>
      <c r="C229" s="85">
        <v>6.68</v>
      </c>
      <c r="D229" s="86">
        <v>150</v>
      </c>
      <c r="E229" s="87">
        <v>10</v>
      </c>
      <c r="F229" s="87">
        <f>ROUND(E229/C229*G234,3)</f>
        <v>1.4970000000000001</v>
      </c>
      <c r="G229" s="85" t="s">
        <v>60</v>
      </c>
      <c r="H229" s="85" t="s">
        <v>61</v>
      </c>
      <c r="I229" s="87"/>
      <c r="J229" s="85"/>
      <c r="K229" s="85"/>
      <c r="L229" s="85"/>
      <c r="M229" s="77">
        <v>428</v>
      </c>
      <c r="N229" s="77">
        <v>6.68</v>
      </c>
      <c r="O229" s="77" t="s">
        <v>93</v>
      </c>
      <c r="P229" s="77" t="s">
        <v>94</v>
      </c>
      <c r="Q229" s="77" t="s">
        <v>95</v>
      </c>
    </row>
    <row r="230" spans="1:17" s="28" customFormat="1" ht="30" customHeight="1" x14ac:dyDescent="0.15">
      <c r="A230" s="95"/>
      <c r="B230" s="85" t="s">
        <v>351</v>
      </c>
      <c r="C230" s="85">
        <v>6.04</v>
      </c>
      <c r="D230" s="86">
        <v>150</v>
      </c>
      <c r="E230" s="87">
        <v>10</v>
      </c>
      <c r="F230" s="87">
        <f>ROUND(E230/C230*G234,3)</f>
        <v>1.6559999999999999</v>
      </c>
      <c r="G230" s="85" t="s">
        <v>60</v>
      </c>
      <c r="H230" s="85" t="s">
        <v>61</v>
      </c>
      <c r="I230" s="87"/>
      <c r="J230" s="85"/>
      <c r="K230" s="85"/>
      <c r="L230" s="85"/>
      <c r="M230" s="77">
        <v>410</v>
      </c>
      <c r="N230" s="77">
        <v>6.04</v>
      </c>
      <c r="O230" s="77" t="s">
        <v>93</v>
      </c>
      <c r="P230" s="77" t="s">
        <v>94</v>
      </c>
      <c r="Q230" s="77" t="s">
        <v>95</v>
      </c>
    </row>
    <row r="231" spans="1:17" s="28" customFormat="1" ht="30" customHeight="1" x14ac:dyDescent="0.15">
      <c r="A231" s="95"/>
      <c r="B231" s="85" t="s">
        <v>352</v>
      </c>
      <c r="C231" s="85">
        <v>14.1</v>
      </c>
      <c r="D231" s="86">
        <v>150</v>
      </c>
      <c r="E231" s="87">
        <v>10</v>
      </c>
      <c r="F231" s="87">
        <f>ROUND(E231/C231*G234,3)</f>
        <v>0.70899999999999996</v>
      </c>
      <c r="G231" s="85" t="s">
        <v>60</v>
      </c>
      <c r="H231" s="85" t="s">
        <v>61</v>
      </c>
      <c r="I231" s="87"/>
      <c r="J231" s="85"/>
      <c r="K231" s="85"/>
      <c r="L231" s="85"/>
      <c r="M231" s="77">
        <v>409</v>
      </c>
      <c r="N231" s="77">
        <v>14.1</v>
      </c>
      <c r="O231" s="77" t="s">
        <v>93</v>
      </c>
      <c r="P231" s="77" t="s">
        <v>94</v>
      </c>
      <c r="Q231" s="77" t="s">
        <v>95</v>
      </c>
    </row>
    <row r="232" spans="1:17" s="28" customFormat="1" ht="30" customHeight="1" x14ac:dyDescent="0.15">
      <c r="A232" s="95"/>
      <c r="B232" s="85" t="s">
        <v>353</v>
      </c>
      <c r="C232" s="85">
        <v>14.8</v>
      </c>
      <c r="D232" s="86">
        <v>150</v>
      </c>
      <c r="E232" s="87">
        <v>10</v>
      </c>
      <c r="F232" s="87">
        <f>ROUND(E232/C232*G234,3)</f>
        <v>0.67600000000000005</v>
      </c>
      <c r="G232" s="85" t="s">
        <v>60</v>
      </c>
      <c r="H232" s="85" t="s">
        <v>61</v>
      </c>
      <c r="I232" s="87"/>
      <c r="J232" s="85"/>
      <c r="K232" s="85"/>
      <c r="L232" s="85"/>
      <c r="M232" s="77">
        <v>412</v>
      </c>
      <c r="N232" s="77">
        <v>14.8</v>
      </c>
      <c r="O232" s="77" t="s">
        <v>93</v>
      </c>
      <c r="P232" s="77" t="s">
        <v>94</v>
      </c>
      <c r="Q232" s="77" t="s">
        <v>95</v>
      </c>
    </row>
    <row r="233" spans="1:17" s="28" customFormat="1" ht="30" customHeight="1" x14ac:dyDescent="0.15">
      <c r="A233" s="94"/>
      <c r="B233" s="85" t="s">
        <v>354</v>
      </c>
      <c r="C233" s="85">
        <v>11.5</v>
      </c>
      <c r="D233" s="86">
        <v>150</v>
      </c>
      <c r="E233" s="87">
        <v>10</v>
      </c>
      <c r="F233" s="87">
        <f>ROUND(E233/C233*G234,3)</f>
        <v>0.87</v>
      </c>
      <c r="G233" s="85" t="s">
        <v>60</v>
      </c>
      <c r="H233" s="85" t="s">
        <v>61</v>
      </c>
      <c r="I233" s="87"/>
      <c r="J233" s="85"/>
      <c r="K233" s="85"/>
      <c r="L233" s="85"/>
      <c r="M233" s="77">
        <v>415</v>
      </c>
      <c r="N233" s="77">
        <v>11.5</v>
      </c>
      <c r="O233" s="77" t="s">
        <v>93</v>
      </c>
      <c r="P233" s="77" t="s">
        <v>94</v>
      </c>
      <c r="Q233" s="77" t="s">
        <v>95</v>
      </c>
    </row>
    <row r="234" spans="1:17" s="28" customFormat="1" ht="30" customHeight="1" x14ac:dyDescent="0.2">
      <c r="A234" s="78"/>
      <c r="B234" s="78"/>
      <c r="C234" s="78"/>
      <c r="D234" s="81">
        <f>ROUND(SUM(D229:D233),2)</f>
        <v>750</v>
      </c>
      <c r="E234" s="82">
        <v>50</v>
      </c>
      <c r="F234" s="82">
        <f>IF(G234&gt;1,ROUND(SUM(F229:F233)/G234*2,3),ROUND(SUM(F229:F233),3))</f>
        <v>5.4080000000000004</v>
      </c>
      <c r="G234" s="77">
        <v>1</v>
      </c>
      <c r="H234" s="78"/>
      <c r="I234" s="88">
        <f>ROUND(20-F234,3)</f>
        <v>14.592000000000001</v>
      </c>
      <c r="J234" s="78"/>
      <c r="K234" s="78"/>
      <c r="L234" s="78"/>
      <c r="M234" s="77">
        <f>AVERAGE(M229:M233)</f>
        <v>414.8</v>
      </c>
      <c r="N234" s="78"/>
      <c r="O234" s="78"/>
      <c r="P234" s="78"/>
      <c r="Q234" s="78"/>
    </row>
    <row r="235" spans="1:17" s="28" customFormat="1" ht="30" customHeight="1" x14ac:dyDescent="0.15">
      <c r="A235" s="85" t="s">
        <v>64</v>
      </c>
      <c r="B235" s="85" t="s">
        <v>355</v>
      </c>
      <c r="C235" s="85">
        <v>16.100000000000001</v>
      </c>
      <c r="D235" s="86">
        <v>60</v>
      </c>
      <c r="E235" s="87">
        <v>50</v>
      </c>
      <c r="F235" s="87">
        <f>ROUND(E235/C235*G236,3)</f>
        <v>3.1059999999999999</v>
      </c>
      <c r="G235" s="85" t="s">
        <v>34</v>
      </c>
      <c r="H235" s="85" t="s">
        <v>35</v>
      </c>
      <c r="I235" s="87"/>
      <c r="J235" s="85"/>
      <c r="K235" s="85"/>
      <c r="L235" s="85"/>
      <c r="M235" s="77"/>
      <c r="N235" s="77">
        <v>16.100000000000001</v>
      </c>
      <c r="O235" s="77"/>
      <c r="P235" s="77" t="s">
        <v>94</v>
      </c>
      <c r="Q235" s="77" t="s">
        <v>95</v>
      </c>
    </row>
    <row r="236" spans="1:17" s="28" customFormat="1" ht="30" customHeight="1" x14ac:dyDescent="0.2">
      <c r="A236" s="78"/>
      <c r="B236" s="78"/>
      <c r="C236" s="78"/>
      <c r="D236" s="81">
        <f>ROUND(SUM(D235:D235),2)</f>
        <v>60</v>
      </c>
      <c r="E236" s="82">
        <v>50</v>
      </c>
      <c r="F236" s="82">
        <f>IF(G236&gt;1,ROUND(SUM(F235:F235)/G236*2,3),ROUND(SUM(F235:F235),3))</f>
        <v>3.1059999999999999</v>
      </c>
      <c r="G236" s="77">
        <v>1</v>
      </c>
      <c r="H236" s="78"/>
      <c r="I236" s="88">
        <f>ROUND(20-F236,3)</f>
        <v>16.893999999999998</v>
      </c>
      <c r="J236" s="78"/>
      <c r="K236" s="78"/>
      <c r="L236" s="78"/>
      <c r="M236" s="77" t="e">
        <f>AVERAGE(M235:M235)</f>
        <v>#DIV/0!</v>
      </c>
      <c r="N236" s="78"/>
      <c r="O236" s="78"/>
      <c r="P236" s="78"/>
      <c r="Q236" s="78"/>
    </row>
    <row r="237" spans="1:17" s="28" customFormat="1" ht="30" customHeight="1" x14ac:dyDescent="0.15">
      <c r="A237" s="90" t="s">
        <v>65</v>
      </c>
      <c r="B237" s="85" t="s">
        <v>356</v>
      </c>
      <c r="C237" s="85">
        <v>15.02</v>
      </c>
      <c r="D237" s="86">
        <v>0.01</v>
      </c>
      <c r="E237" s="87">
        <v>300</v>
      </c>
      <c r="F237" s="87">
        <f>ROUND(E237/C237*G238,3)</f>
        <v>19.972999999999999</v>
      </c>
      <c r="G237" s="85" t="s">
        <v>66</v>
      </c>
      <c r="H237" s="85" t="s">
        <v>27</v>
      </c>
      <c r="I237" s="87"/>
      <c r="J237" s="85"/>
      <c r="K237" s="85"/>
      <c r="L237" s="85" t="s">
        <v>196</v>
      </c>
      <c r="M237" s="77"/>
      <c r="N237" s="77">
        <v>15.02</v>
      </c>
      <c r="O237" s="77" t="s">
        <v>357</v>
      </c>
      <c r="P237" s="77" t="s">
        <v>358</v>
      </c>
      <c r="Q237" s="77" t="s">
        <v>95</v>
      </c>
    </row>
    <row r="238" spans="1:17" ht="30" customHeight="1" x14ac:dyDescent="0.2">
      <c r="A238" s="78"/>
      <c r="B238" s="78"/>
      <c r="C238" s="78"/>
      <c r="D238" s="81">
        <f>ROUND(SUM(D237:D237),2)</f>
        <v>0.01</v>
      </c>
      <c r="E238" s="82">
        <v>300</v>
      </c>
      <c r="F238" s="82">
        <f>IF(G238&gt;1,ROUND(SUM(F237:F237)/G238*2,3),ROUND(SUM(F237:F237),3))</f>
        <v>19.972999999999999</v>
      </c>
      <c r="G238" s="77">
        <v>1</v>
      </c>
      <c r="H238" s="78"/>
      <c r="I238" s="88">
        <f>ROUND(40-F238,3)</f>
        <v>20.027000000000001</v>
      </c>
      <c r="J238" s="78"/>
      <c r="K238" s="78"/>
      <c r="L238" s="78"/>
      <c r="M238" s="77" t="e">
        <f>AVERAGE(M237:M237)</f>
        <v>#DIV/0!</v>
      </c>
      <c r="N238" s="78"/>
      <c r="O238" s="78"/>
      <c r="P238" s="78"/>
      <c r="Q238" s="78"/>
    </row>
    <row r="239" spans="1:17" s="28" customFormat="1" ht="30" customHeight="1" x14ac:dyDescent="0.15">
      <c r="A239" s="96" t="s">
        <v>67</v>
      </c>
      <c r="B239" s="85" t="s">
        <v>359</v>
      </c>
      <c r="C239" s="85">
        <v>17.440000000000001</v>
      </c>
      <c r="D239" s="86">
        <v>0.19</v>
      </c>
      <c r="E239" s="87">
        <v>80.281999999999996</v>
      </c>
      <c r="F239" s="87">
        <f>ROUND(E239/C239*G244,3)</f>
        <v>4.6029999999999998</v>
      </c>
      <c r="G239" s="85" t="s">
        <v>66</v>
      </c>
      <c r="H239" s="85" t="s">
        <v>27</v>
      </c>
      <c r="I239" s="87"/>
      <c r="J239" s="85"/>
      <c r="K239" s="85"/>
      <c r="L239" s="85" t="s">
        <v>196</v>
      </c>
      <c r="M239" s="77"/>
      <c r="N239" s="77">
        <v>17.440000000000001</v>
      </c>
      <c r="O239" s="77" t="s">
        <v>357</v>
      </c>
      <c r="P239" s="77" t="s">
        <v>358</v>
      </c>
      <c r="Q239" s="77" t="s">
        <v>95</v>
      </c>
    </row>
    <row r="240" spans="1:17" s="28" customFormat="1" ht="30" customHeight="1" x14ac:dyDescent="0.15">
      <c r="A240" s="95"/>
      <c r="B240" s="85" t="s">
        <v>360</v>
      </c>
      <c r="C240" s="85">
        <v>13.78</v>
      </c>
      <c r="D240" s="86">
        <v>7.0000000000000007E-2</v>
      </c>
      <c r="E240" s="87">
        <v>29.577000000000002</v>
      </c>
      <c r="F240" s="87">
        <f>ROUND(E240/C240*G244,3)</f>
        <v>2.1459999999999999</v>
      </c>
      <c r="G240" s="85" t="s">
        <v>66</v>
      </c>
      <c r="H240" s="85" t="s">
        <v>27</v>
      </c>
      <c r="I240" s="87"/>
      <c r="J240" s="85"/>
      <c r="K240" s="85"/>
      <c r="L240" s="85" t="s">
        <v>196</v>
      </c>
      <c r="M240" s="77"/>
      <c r="N240" s="77">
        <v>13.78</v>
      </c>
      <c r="O240" s="77" t="s">
        <v>357</v>
      </c>
      <c r="P240" s="77" t="s">
        <v>358</v>
      </c>
      <c r="Q240" s="77" t="s">
        <v>95</v>
      </c>
    </row>
    <row r="241" spans="1:17" s="28" customFormat="1" ht="30" customHeight="1" x14ac:dyDescent="0.15">
      <c r="A241" s="95"/>
      <c r="B241" s="85" t="s">
        <v>361</v>
      </c>
      <c r="C241" s="85">
        <v>13.86</v>
      </c>
      <c r="D241" s="86">
        <v>0.23</v>
      </c>
      <c r="E241" s="87">
        <v>97.183000000000007</v>
      </c>
      <c r="F241" s="87">
        <f>ROUND(E241/C241*G244,3)</f>
        <v>7.0119999999999996</v>
      </c>
      <c r="G241" s="85" t="s">
        <v>66</v>
      </c>
      <c r="H241" s="85" t="s">
        <v>27</v>
      </c>
      <c r="I241" s="87"/>
      <c r="J241" s="85"/>
      <c r="K241" s="85"/>
      <c r="L241" s="85" t="s">
        <v>196</v>
      </c>
      <c r="M241" s="77"/>
      <c r="N241" s="77">
        <v>13.86</v>
      </c>
      <c r="O241" s="77" t="s">
        <v>357</v>
      </c>
      <c r="P241" s="77" t="s">
        <v>358</v>
      </c>
      <c r="Q241" s="77" t="s">
        <v>95</v>
      </c>
    </row>
    <row r="242" spans="1:17" s="28" customFormat="1" ht="30" customHeight="1" x14ac:dyDescent="0.15">
      <c r="A242" s="95"/>
      <c r="B242" s="85" t="s">
        <v>362</v>
      </c>
      <c r="C242" s="85">
        <v>16.45</v>
      </c>
      <c r="D242" s="86">
        <v>0.13</v>
      </c>
      <c r="E242" s="87">
        <v>54.93</v>
      </c>
      <c r="F242" s="87">
        <f>ROUND(E242/C242*G244,3)</f>
        <v>3.339</v>
      </c>
      <c r="G242" s="85" t="s">
        <v>66</v>
      </c>
      <c r="H242" s="85" t="s">
        <v>27</v>
      </c>
      <c r="I242" s="87"/>
      <c r="J242" s="85"/>
      <c r="K242" s="85"/>
      <c r="L242" s="85" t="s">
        <v>196</v>
      </c>
      <c r="M242" s="77"/>
      <c r="N242" s="77">
        <v>16.45</v>
      </c>
      <c r="O242" s="77" t="s">
        <v>357</v>
      </c>
      <c r="P242" s="77" t="s">
        <v>358</v>
      </c>
      <c r="Q242" s="77" t="s">
        <v>95</v>
      </c>
    </row>
    <row r="243" spans="1:17" s="28" customFormat="1" ht="30" customHeight="1" x14ac:dyDescent="0.15">
      <c r="A243" s="94"/>
      <c r="B243" s="85" t="s">
        <v>363</v>
      </c>
      <c r="C243" s="85">
        <v>18.14</v>
      </c>
      <c r="D243" s="86">
        <v>0.09</v>
      </c>
      <c r="E243" s="87">
        <v>38.027999999999999</v>
      </c>
      <c r="F243" s="87">
        <f>ROUND(E243/C243*G244,3)</f>
        <v>2.0960000000000001</v>
      </c>
      <c r="G243" s="85" t="s">
        <v>66</v>
      </c>
      <c r="H243" s="85" t="s">
        <v>27</v>
      </c>
      <c r="I243" s="87"/>
      <c r="J243" s="85"/>
      <c r="K243" s="85"/>
      <c r="L243" s="85" t="s">
        <v>196</v>
      </c>
      <c r="M243" s="77"/>
      <c r="N243" s="77">
        <v>18.14</v>
      </c>
      <c r="O243" s="77" t="s">
        <v>357</v>
      </c>
      <c r="P243" s="77" t="s">
        <v>358</v>
      </c>
      <c r="Q243" s="77" t="s">
        <v>95</v>
      </c>
    </row>
    <row r="244" spans="1:17" s="28" customFormat="1" ht="30" customHeight="1" x14ac:dyDescent="0.2">
      <c r="A244" s="78"/>
      <c r="B244" s="78"/>
      <c r="C244" s="78"/>
      <c r="D244" s="81">
        <f>ROUND(SUM(D239:D243),2)</f>
        <v>0.71</v>
      </c>
      <c r="E244" s="82">
        <v>300</v>
      </c>
      <c r="F244" s="82">
        <f>IF(G244&gt;1,ROUND(SUM(F239:F243)/G244*2,3),ROUND(SUM(F239:F243),3))</f>
        <v>19.196000000000002</v>
      </c>
      <c r="G244" s="77">
        <v>1</v>
      </c>
      <c r="H244" s="78"/>
      <c r="I244" s="88">
        <f>ROUND(40-F244,3)</f>
        <v>20.803999999999998</v>
      </c>
      <c r="J244" s="78"/>
      <c r="K244" s="78"/>
      <c r="L244" s="78"/>
      <c r="M244" s="77" t="e">
        <f>AVERAGE(M239:M243)</f>
        <v>#DIV/0!</v>
      </c>
      <c r="N244" s="78"/>
      <c r="O244" s="78"/>
      <c r="P244" s="78"/>
      <c r="Q244" s="78"/>
    </row>
    <row r="245" spans="1:17" s="28" customFormat="1" ht="30" customHeight="1" x14ac:dyDescent="0.15">
      <c r="A245" s="90" t="s">
        <v>68</v>
      </c>
      <c r="B245" s="85" t="s">
        <v>364</v>
      </c>
      <c r="C245" s="85">
        <v>19.7</v>
      </c>
      <c r="D245" s="86">
        <v>4.25</v>
      </c>
      <c r="E245" s="87">
        <v>300</v>
      </c>
      <c r="F245" s="87">
        <f>ROUND(E245/C245*G246,3)</f>
        <v>15.228</v>
      </c>
      <c r="G245" s="85" t="s">
        <v>69</v>
      </c>
      <c r="H245" s="85" t="s">
        <v>70</v>
      </c>
      <c r="I245" s="87"/>
      <c r="J245" s="85"/>
      <c r="K245" s="85"/>
      <c r="L245" s="85" t="s">
        <v>196</v>
      </c>
      <c r="M245" s="77"/>
      <c r="N245" s="77">
        <v>19.7</v>
      </c>
      <c r="O245" s="77" t="s">
        <v>93</v>
      </c>
      <c r="P245" s="77" t="s">
        <v>94</v>
      </c>
      <c r="Q245" s="77" t="s">
        <v>95</v>
      </c>
    </row>
    <row r="246" spans="1:17" s="28" customFormat="1" ht="30" customHeight="1" x14ac:dyDescent="0.2">
      <c r="A246" s="78"/>
      <c r="B246" s="78"/>
      <c r="C246" s="78"/>
      <c r="D246" s="81">
        <f>ROUND(SUM(D245:D245),2)</f>
        <v>4.25</v>
      </c>
      <c r="E246" s="82">
        <v>300</v>
      </c>
      <c r="F246" s="82">
        <f>IF(G246&gt;1,ROUND(SUM(F245:F245)/G246*2,3),ROUND(SUM(F245:F245),3))</f>
        <v>15.228</v>
      </c>
      <c r="G246" s="77">
        <v>1</v>
      </c>
      <c r="H246" s="78"/>
      <c r="I246" s="88">
        <f>ROUND(40-F246,3)</f>
        <v>24.771999999999998</v>
      </c>
      <c r="J246" s="78"/>
      <c r="K246" s="78"/>
      <c r="L246" s="78"/>
      <c r="M246" s="77" t="e">
        <f>AVERAGE(M245:M245)</f>
        <v>#DIV/0!</v>
      </c>
      <c r="N246" s="78"/>
      <c r="O246" s="78"/>
      <c r="P246" s="78"/>
      <c r="Q246" s="78"/>
    </row>
    <row r="247" spans="1:17" s="28" customFormat="1" ht="30" customHeight="1" x14ac:dyDescent="0.15">
      <c r="A247" s="96" t="s">
        <v>71</v>
      </c>
      <c r="B247" s="85" t="s">
        <v>365</v>
      </c>
      <c r="C247" s="85">
        <v>57.95</v>
      </c>
      <c r="D247" s="86">
        <v>0.72</v>
      </c>
      <c r="E247" s="87">
        <v>99.082999999999998</v>
      </c>
      <c r="F247" s="87">
        <f>ROUND(E247/C247*G251,3)</f>
        <v>3.42</v>
      </c>
      <c r="G247" s="85" t="s">
        <v>72</v>
      </c>
      <c r="H247" s="85" t="s">
        <v>73</v>
      </c>
      <c r="I247" s="87"/>
      <c r="J247" s="85"/>
      <c r="K247" s="85" t="s">
        <v>366</v>
      </c>
      <c r="L247" s="85" t="s">
        <v>196</v>
      </c>
      <c r="M247" s="77">
        <v>314</v>
      </c>
      <c r="N247" s="77">
        <v>57.95</v>
      </c>
      <c r="O247" s="77" t="s">
        <v>367</v>
      </c>
      <c r="P247" s="77" t="s">
        <v>358</v>
      </c>
      <c r="Q247" s="77" t="s">
        <v>95</v>
      </c>
    </row>
    <row r="248" spans="1:17" s="28" customFormat="1" ht="30" customHeight="1" x14ac:dyDescent="0.15">
      <c r="A248" s="95"/>
      <c r="B248" s="85" t="s">
        <v>368</v>
      </c>
      <c r="C248" s="85">
        <v>54.09</v>
      </c>
      <c r="D248" s="86">
        <v>0.6</v>
      </c>
      <c r="E248" s="87">
        <v>82.569000000000003</v>
      </c>
      <c r="F248" s="87">
        <f>ROUND(E248/C248*G251,3)</f>
        <v>3.0529999999999999</v>
      </c>
      <c r="G248" s="85" t="s">
        <v>72</v>
      </c>
      <c r="H248" s="85" t="s">
        <v>73</v>
      </c>
      <c r="I248" s="87"/>
      <c r="J248" s="85"/>
      <c r="K248" s="85" t="s">
        <v>369</v>
      </c>
      <c r="L248" s="85" t="s">
        <v>196</v>
      </c>
      <c r="M248" s="77">
        <v>317</v>
      </c>
      <c r="N248" s="77">
        <v>54.09</v>
      </c>
      <c r="O248" s="77" t="s">
        <v>367</v>
      </c>
      <c r="P248" s="77" t="s">
        <v>358</v>
      </c>
      <c r="Q248" s="77" t="s">
        <v>95</v>
      </c>
    </row>
    <row r="249" spans="1:17" s="28" customFormat="1" ht="30" customHeight="1" x14ac:dyDescent="0.15">
      <c r="A249" s="95"/>
      <c r="B249" s="85" t="s">
        <v>370</v>
      </c>
      <c r="C249" s="85">
        <v>51.96</v>
      </c>
      <c r="D249" s="86">
        <v>0.56000000000000005</v>
      </c>
      <c r="E249" s="87">
        <v>77.063999999999993</v>
      </c>
      <c r="F249" s="87">
        <f>ROUND(E249/C249*G251,3)</f>
        <v>2.9660000000000002</v>
      </c>
      <c r="G249" s="85" t="s">
        <v>72</v>
      </c>
      <c r="H249" s="85" t="s">
        <v>73</v>
      </c>
      <c r="I249" s="87"/>
      <c r="J249" s="85"/>
      <c r="K249" s="85" t="s">
        <v>371</v>
      </c>
      <c r="L249" s="85" t="s">
        <v>196</v>
      </c>
      <c r="M249" s="77">
        <v>328</v>
      </c>
      <c r="N249" s="77">
        <v>51.96</v>
      </c>
      <c r="O249" s="77" t="s">
        <v>367</v>
      </c>
      <c r="P249" s="77" t="s">
        <v>358</v>
      </c>
      <c r="Q249" s="77" t="s">
        <v>95</v>
      </c>
    </row>
    <row r="250" spans="1:17" s="28" customFormat="1" ht="30" customHeight="1" x14ac:dyDescent="0.15">
      <c r="A250" s="94"/>
      <c r="B250" s="85" t="s">
        <v>372</v>
      </c>
      <c r="C250" s="85">
        <v>55.48</v>
      </c>
      <c r="D250" s="86">
        <v>0.3</v>
      </c>
      <c r="E250" s="87">
        <v>41.283999999999999</v>
      </c>
      <c r="F250" s="87">
        <f>ROUND(E250/C250*G251,3)</f>
        <v>1.488</v>
      </c>
      <c r="G250" s="85" t="s">
        <v>72</v>
      </c>
      <c r="H250" s="85" t="s">
        <v>73</v>
      </c>
      <c r="I250" s="87"/>
      <c r="J250" s="85"/>
      <c r="K250" s="85" t="s">
        <v>373</v>
      </c>
      <c r="L250" s="85" t="s">
        <v>196</v>
      </c>
      <c r="M250" s="77">
        <v>335</v>
      </c>
      <c r="N250" s="77">
        <v>55.48</v>
      </c>
      <c r="O250" s="77" t="s">
        <v>367</v>
      </c>
      <c r="P250" s="77" t="s">
        <v>358</v>
      </c>
      <c r="Q250" s="77" t="s">
        <v>95</v>
      </c>
    </row>
    <row r="251" spans="1:17" ht="30" customHeight="1" x14ac:dyDescent="0.2">
      <c r="A251" s="78"/>
      <c r="B251" s="78"/>
      <c r="C251" s="78"/>
      <c r="D251" s="81">
        <f>ROUND(SUM(D247:D250),2)</f>
        <v>2.1800000000000002</v>
      </c>
      <c r="E251" s="82">
        <v>300</v>
      </c>
      <c r="F251" s="82">
        <f>IF(G251&gt;1,ROUND(SUM(F247:F250)/G251*2,3),ROUND(SUM(F247:F250),3))</f>
        <v>10.927</v>
      </c>
      <c r="G251" s="77">
        <v>2</v>
      </c>
      <c r="H251" s="78"/>
      <c r="I251" s="88">
        <f>ROUND(40-F251,3)</f>
        <v>29.073</v>
      </c>
      <c r="J251" s="78"/>
      <c r="K251" s="78"/>
      <c r="L251" s="78"/>
      <c r="M251" s="77">
        <f>AVERAGE(M247:M250)</f>
        <v>323.5</v>
      </c>
      <c r="N251" s="78"/>
      <c r="O251" s="78"/>
      <c r="P251" s="78"/>
      <c r="Q251" s="78"/>
    </row>
    <row r="252" spans="1:17" s="28" customFormat="1" ht="30" customHeight="1" x14ac:dyDescent="0.15">
      <c r="A252" s="90" t="s">
        <v>74</v>
      </c>
      <c r="B252" s="85" t="s">
        <v>374</v>
      </c>
      <c r="C252" s="85">
        <v>67.97</v>
      </c>
      <c r="D252" s="86">
        <v>12.17</v>
      </c>
      <c r="E252" s="87">
        <v>300</v>
      </c>
      <c r="F252" s="87">
        <f>ROUND(E252/C252*G253,3)</f>
        <v>4.4139999999999997</v>
      </c>
      <c r="G252" s="85" t="s">
        <v>72</v>
      </c>
      <c r="H252" s="85" t="s">
        <v>73</v>
      </c>
      <c r="I252" s="87"/>
      <c r="J252" s="85"/>
      <c r="K252" s="85" t="s">
        <v>375</v>
      </c>
      <c r="L252" s="85" t="s">
        <v>196</v>
      </c>
      <c r="M252" s="77">
        <v>332</v>
      </c>
      <c r="N252" s="77">
        <v>67.97</v>
      </c>
      <c r="O252" s="77" t="s">
        <v>367</v>
      </c>
      <c r="P252" s="77" t="s">
        <v>358</v>
      </c>
      <c r="Q252" s="77" t="s">
        <v>95</v>
      </c>
    </row>
    <row r="253" spans="1:17" s="28" customFormat="1" ht="30" customHeight="1" x14ac:dyDescent="0.2">
      <c r="A253" s="78"/>
      <c r="B253" s="78"/>
      <c r="C253" s="78"/>
      <c r="D253" s="81">
        <f>ROUND(SUM(D252:D252),2)</f>
        <v>12.17</v>
      </c>
      <c r="E253" s="82">
        <v>300</v>
      </c>
      <c r="F253" s="82">
        <f>IF(G253&gt;1,ROUND(SUM(F252:F252)/G253*2,3),ROUND(SUM(F252:F252),3))</f>
        <v>4.4139999999999997</v>
      </c>
      <c r="G253" s="77">
        <v>1</v>
      </c>
      <c r="H253" s="78"/>
      <c r="I253" s="88">
        <f>ROUND(40-F253,3)</f>
        <v>35.585999999999999</v>
      </c>
      <c r="J253" s="78"/>
      <c r="K253" s="78"/>
      <c r="L253" s="78"/>
      <c r="M253" s="77">
        <f>AVERAGE(M252:M252)</f>
        <v>332</v>
      </c>
      <c r="N253" s="78"/>
      <c r="O253" s="78"/>
      <c r="P253" s="78"/>
      <c r="Q253" s="78"/>
    </row>
    <row r="254" spans="1:17" s="28" customFormat="1" ht="30" customHeight="1" x14ac:dyDescent="0.15">
      <c r="A254" s="90" t="s">
        <v>75</v>
      </c>
      <c r="B254" s="85" t="s">
        <v>376</v>
      </c>
      <c r="C254" s="85">
        <v>20.89</v>
      </c>
      <c r="D254" s="86">
        <v>11.98</v>
      </c>
      <c r="E254" s="87">
        <v>300</v>
      </c>
      <c r="F254" s="87">
        <f>ROUND(E254/C254*G255,3)</f>
        <v>14.361000000000001</v>
      </c>
      <c r="G254" s="85" t="s">
        <v>76</v>
      </c>
      <c r="H254" s="85" t="s">
        <v>73</v>
      </c>
      <c r="I254" s="87"/>
      <c r="J254" s="85"/>
      <c r="K254" s="85" t="s">
        <v>377</v>
      </c>
      <c r="L254" s="85" t="s">
        <v>146</v>
      </c>
      <c r="M254" s="77">
        <v>334</v>
      </c>
      <c r="N254" s="77">
        <v>20.89</v>
      </c>
      <c r="O254" s="77" t="s">
        <v>367</v>
      </c>
      <c r="P254" s="77" t="s">
        <v>358</v>
      </c>
      <c r="Q254" s="77" t="s">
        <v>95</v>
      </c>
    </row>
    <row r="255" spans="1:17" s="28" customFormat="1" ht="30" customHeight="1" x14ac:dyDescent="0.2">
      <c r="A255" s="78"/>
      <c r="B255" s="78"/>
      <c r="C255" s="78"/>
      <c r="D255" s="81">
        <f>ROUND(SUM(D254:D254),2)</f>
        <v>11.98</v>
      </c>
      <c r="E255" s="82">
        <v>300</v>
      </c>
      <c r="F255" s="82">
        <f>IF(G255&gt;1,ROUND(SUM(F254:F254)/G255*2,3),ROUND(SUM(F254:F254),3))</f>
        <v>14.361000000000001</v>
      </c>
      <c r="G255" s="77">
        <v>1</v>
      </c>
      <c r="H255" s="78"/>
      <c r="I255" s="88">
        <f>ROUND(40-F255,3)</f>
        <v>25.638999999999999</v>
      </c>
      <c r="J255" s="78"/>
      <c r="K255" s="78"/>
      <c r="L255" s="78"/>
      <c r="M255" s="77">
        <f>AVERAGE(M254:M254)</f>
        <v>334</v>
      </c>
      <c r="N255" s="78"/>
      <c r="O255" s="78"/>
      <c r="P255" s="78"/>
      <c r="Q255" s="78"/>
    </row>
    <row r="256" spans="1:17" ht="30" customHeight="1" x14ac:dyDescent="0.15">
      <c r="A256" s="96" t="s">
        <v>77</v>
      </c>
      <c r="B256" s="85" t="s">
        <v>378</v>
      </c>
      <c r="C256" s="85">
        <v>66.89</v>
      </c>
      <c r="D256" s="86">
        <v>12.34</v>
      </c>
      <c r="E256" s="87">
        <v>106.166</v>
      </c>
      <c r="F256" s="87">
        <f>ROUND(E256/C256*G259,3)</f>
        <v>1.587</v>
      </c>
      <c r="G256" s="85" t="s">
        <v>78</v>
      </c>
      <c r="H256" s="85" t="s">
        <v>73</v>
      </c>
      <c r="I256" s="87"/>
      <c r="J256" s="85"/>
      <c r="K256" s="85"/>
      <c r="L256" s="85" t="s">
        <v>196</v>
      </c>
      <c r="M256" s="77">
        <v>332</v>
      </c>
      <c r="N256" s="77">
        <v>66.89</v>
      </c>
      <c r="O256" s="77" t="s">
        <v>367</v>
      </c>
      <c r="P256" s="77" t="s">
        <v>358</v>
      </c>
      <c r="Q256" s="77" t="s">
        <v>95</v>
      </c>
    </row>
    <row r="257" spans="1:17" s="28" customFormat="1" ht="30" customHeight="1" x14ac:dyDescent="0.15">
      <c r="A257" s="95"/>
      <c r="B257" s="85" t="s">
        <v>379</v>
      </c>
      <c r="C257" s="85">
        <v>63.16</v>
      </c>
      <c r="D257" s="86">
        <v>6.74</v>
      </c>
      <c r="E257" s="87">
        <v>57.987000000000002</v>
      </c>
      <c r="F257" s="87">
        <f>ROUND(E257/C257*G259,3)</f>
        <v>0.91800000000000004</v>
      </c>
      <c r="G257" s="85" t="s">
        <v>78</v>
      </c>
      <c r="H257" s="85" t="s">
        <v>73</v>
      </c>
      <c r="I257" s="87"/>
      <c r="J257" s="85"/>
      <c r="K257" s="85"/>
      <c r="L257" s="85" t="s">
        <v>196</v>
      </c>
      <c r="M257" s="77">
        <v>357</v>
      </c>
      <c r="N257" s="77">
        <v>63.16</v>
      </c>
      <c r="O257" s="77" t="s">
        <v>367</v>
      </c>
      <c r="P257" s="77" t="s">
        <v>358</v>
      </c>
      <c r="Q257" s="77" t="s">
        <v>95</v>
      </c>
    </row>
    <row r="258" spans="1:17" s="28" customFormat="1" ht="30" customHeight="1" x14ac:dyDescent="0.15">
      <c r="A258" s="94"/>
      <c r="B258" s="85" t="s">
        <v>380</v>
      </c>
      <c r="C258" s="85">
        <v>38.72</v>
      </c>
      <c r="D258" s="86">
        <v>15.79</v>
      </c>
      <c r="E258" s="87">
        <v>135.84700000000001</v>
      </c>
      <c r="F258" s="87">
        <f>ROUND(E258/C258*G259,3)</f>
        <v>3.508</v>
      </c>
      <c r="G258" s="85" t="s">
        <v>78</v>
      </c>
      <c r="H258" s="85" t="s">
        <v>73</v>
      </c>
      <c r="I258" s="87"/>
      <c r="J258" s="85"/>
      <c r="K258" s="85"/>
      <c r="L258" s="85" t="s">
        <v>196</v>
      </c>
      <c r="M258" s="77">
        <v>317</v>
      </c>
      <c r="N258" s="77">
        <v>38.72</v>
      </c>
      <c r="O258" s="77" t="s">
        <v>367</v>
      </c>
      <c r="P258" s="77" t="s">
        <v>358</v>
      </c>
      <c r="Q258" s="77" t="s">
        <v>95</v>
      </c>
    </row>
    <row r="259" spans="1:17" s="28" customFormat="1" ht="30" customHeight="1" x14ac:dyDescent="0.2">
      <c r="A259" s="78"/>
      <c r="B259" s="78"/>
      <c r="C259" s="78"/>
      <c r="D259" s="81">
        <f>ROUND(SUM(D256:D258),2)</f>
        <v>34.869999999999997</v>
      </c>
      <c r="E259" s="82">
        <v>300</v>
      </c>
      <c r="F259" s="82">
        <f>IF(G259&gt;1,ROUND(SUM(F256:F258)/G259*2,3),ROUND(SUM(F256:F258),3))</f>
        <v>6.0129999999999999</v>
      </c>
      <c r="G259" s="77">
        <v>1</v>
      </c>
      <c r="H259" s="78"/>
      <c r="I259" s="88">
        <f>ROUND(40-F259,3)</f>
        <v>33.987000000000002</v>
      </c>
      <c r="J259" s="78"/>
      <c r="K259" s="78"/>
      <c r="L259" s="78"/>
      <c r="M259" s="77">
        <f>AVERAGE(M256:M258)</f>
        <v>335.33333333333331</v>
      </c>
      <c r="N259" s="78"/>
      <c r="O259" s="78"/>
      <c r="P259" s="78"/>
      <c r="Q259" s="78"/>
    </row>
    <row r="264" spans="1:17" ht="23.25" customHeight="1" x14ac:dyDescent="0.15"/>
    <row r="265" spans="1:17" ht="23.25" customHeight="1" x14ac:dyDescent="0.15"/>
    <row r="266" spans="1:17" ht="23.25" customHeight="1" x14ac:dyDescent="0.15"/>
    <row r="267" spans="1:17" ht="23.25" customHeight="1" x14ac:dyDescent="0.15"/>
    <row r="268" spans="1:17" ht="23.25" customHeight="1" x14ac:dyDescent="0.15"/>
    <row r="269" spans="1:17" ht="23.25" customHeight="1" x14ac:dyDescent="0.15"/>
    <row r="270" spans="1:17" ht="23.25" customHeight="1" x14ac:dyDescent="0.15"/>
    <row r="271" spans="1:17" ht="23.25" customHeight="1" x14ac:dyDescent="0.15"/>
    <row r="272" spans="1:17" ht="23.25" customHeight="1" x14ac:dyDescent="0.15"/>
    <row r="273" ht="23.25" customHeight="1" x14ac:dyDescent="0.15"/>
    <row r="274" ht="23.25" customHeight="1" x14ac:dyDescent="0.15"/>
    <row r="275" ht="23.25" customHeight="1" x14ac:dyDescent="0.15"/>
    <row r="276" ht="23.25" customHeight="1" x14ac:dyDescent="0.15"/>
    <row r="277" ht="23.25" customHeight="1" x14ac:dyDescent="0.15"/>
    <row r="278" ht="23.25" customHeight="1" x14ac:dyDescent="0.15"/>
    <row r="279" ht="23.25" customHeight="1" x14ac:dyDescent="0.15"/>
  </sheetData>
  <mergeCells count="19">
    <mergeCell ref="A256:A258"/>
    <mergeCell ref="A247:A250"/>
    <mergeCell ref="A65:A67"/>
    <mergeCell ref="A226:A227"/>
    <mergeCell ref="A16:A20"/>
    <mergeCell ref="A239:A243"/>
    <mergeCell ref="A22:A29"/>
    <mergeCell ref="A58:A61"/>
    <mergeCell ref="A221:A224"/>
    <mergeCell ref="A83:A184"/>
    <mergeCell ref="A186:A219"/>
    <mergeCell ref="A45:A54"/>
    <mergeCell ref="A229:A233"/>
    <mergeCell ref="A2:A4"/>
    <mergeCell ref="A69:A70"/>
    <mergeCell ref="A78:A81"/>
    <mergeCell ref="A8:A14"/>
    <mergeCell ref="A72:A76"/>
    <mergeCell ref="A35:A43"/>
  </mergeCells>
  <phoneticPr fontId="16" type="noConversion"/>
  <conditionalFormatting sqref="A1">
    <cfRule type="duplicateValues" dxfId="110" priority="33"/>
  </conditionalFormatting>
  <conditionalFormatting sqref="B1">
    <cfRule type="duplicateValues" dxfId="109" priority="32"/>
    <cfRule type="duplicateValues" dxfId="108" priority="34"/>
  </conditionalFormatting>
  <conditionalFormatting sqref="B2:B1048576">
    <cfRule type="duplicateValues" dxfId="107" priority="35"/>
  </conditionalFormatting>
  <pageMargins left="0.75" right="0.75" top="1" bottom="1" header="0.5" footer="0.5"/>
  <pageSetup paperSize="9" scale="1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95"/>
  <sheetViews>
    <sheetView zoomScaleNormal="100" workbookViewId="0">
      <selection activeCell="D14" sqref="D14"/>
    </sheetView>
  </sheetViews>
  <sheetFormatPr defaultColWidth="8.75" defaultRowHeight="30" customHeight="1" x14ac:dyDescent="0.15"/>
  <cols>
    <col min="1" max="1" width="12" style="27" customWidth="1"/>
    <col min="2" max="2" width="12" style="80" customWidth="1"/>
    <col min="3" max="3" width="22" style="29" customWidth="1"/>
    <col min="4" max="4" width="14" style="29" customWidth="1"/>
    <col min="5" max="5" width="22" style="30" customWidth="1"/>
    <col min="6" max="6" width="22" style="31" bestFit="1" customWidth="1"/>
    <col min="7" max="7" width="12" style="27" customWidth="1"/>
    <col min="8" max="8" width="12" style="80" customWidth="1"/>
    <col min="9" max="9" width="27" style="29" customWidth="1"/>
    <col min="10" max="10" width="8" style="32" customWidth="1"/>
    <col min="11" max="12" width="8" style="80" customWidth="1"/>
    <col min="13" max="13" width="8" style="27" customWidth="1"/>
    <col min="14" max="14" width="22" style="27" bestFit="1" customWidth="1"/>
    <col min="15" max="15" width="12" style="27" customWidth="1"/>
    <col min="16" max="16" width="11" style="27" customWidth="1"/>
    <col min="17" max="17" width="9" style="27" customWidth="1"/>
    <col min="18" max="18" width="17.25" style="27" customWidth="1"/>
    <col min="19" max="21" width="8.75" style="27" customWidth="1"/>
    <col min="22" max="22" width="9.125" style="27" customWidth="1"/>
    <col min="23" max="29" width="8.75" style="27" customWidth="1"/>
    <col min="30" max="16384" width="8.75" style="27"/>
  </cols>
  <sheetData>
    <row r="1" spans="1:17" s="26" customFormat="1" ht="90" customHeight="1" x14ac:dyDescent="0.15">
      <c r="A1" s="61" t="s">
        <v>79</v>
      </c>
      <c r="B1" s="33" t="s">
        <v>80</v>
      </c>
      <c r="C1" s="42" t="s">
        <v>81</v>
      </c>
      <c r="D1" s="42" t="s">
        <v>6</v>
      </c>
      <c r="E1" s="43" t="s">
        <v>82</v>
      </c>
      <c r="F1" s="44" t="s">
        <v>83</v>
      </c>
      <c r="G1" s="33" t="s">
        <v>11</v>
      </c>
      <c r="H1" s="45" t="s">
        <v>12</v>
      </c>
      <c r="I1" s="62" t="s">
        <v>84</v>
      </c>
      <c r="J1" s="46" t="s">
        <v>85</v>
      </c>
      <c r="K1" s="46" t="s">
        <v>86</v>
      </c>
      <c r="L1" s="46" t="s">
        <v>87</v>
      </c>
      <c r="M1" s="79" t="s">
        <v>88</v>
      </c>
      <c r="N1" s="63" t="s">
        <v>81</v>
      </c>
      <c r="O1" s="63" t="s">
        <v>89</v>
      </c>
      <c r="P1" s="63" t="s">
        <v>90</v>
      </c>
      <c r="Q1" s="63" t="s">
        <v>91</v>
      </c>
    </row>
    <row r="231" ht="23.25" customHeight="1" x14ac:dyDescent="0.15"/>
    <row r="232" ht="23.25" customHeight="1" x14ac:dyDescent="0.15"/>
    <row r="233" ht="23.25" customHeight="1" x14ac:dyDescent="0.15"/>
    <row r="234" ht="23.25" customHeight="1" x14ac:dyDescent="0.15"/>
    <row r="235" ht="23.25" customHeight="1" x14ac:dyDescent="0.15"/>
    <row r="236" ht="23.25" customHeight="1" x14ac:dyDescent="0.15"/>
    <row r="237" ht="23.25" customHeight="1" x14ac:dyDescent="0.15"/>
    <row r="238" ht="23.25" customHeight="1" x14ac:dyDescent="0.15"/>
    <row r="239" ht="23.25" customHeight="1" x14ac:dyDescent="0.15"/>
    <row r="240" ht="23.25" customHeight="1" x14ac:dyDescent="0.15"/>
    <row r="241" ht="23.25" customHeight="1" x14ac:dyDescent="0.15"/>
    <row r="242" ht="23.25" customHeight="1" x14ac:dyDescent="0.15"/>
    <row r="243" ht="23.25" customHeight="1" x14ac:dyDescent="0.15"/>
    <row r="244" ht="23.25" customHeight="1" x14ac:dyDescent="0.15"/>
    <row r="245" ht="23.25" customHeight="1" x14ac:dyDescent="0.15"/>
    <row r="246" ht="23.25" customHeight="1" x14ac:dyDescent="0.15"/>
    <row r="247" ht="23.25" customHeight="1" x14ac:dyDescent="0.15"/>
    <row r="248" ht="23.25" customHeight="1" x14ac:dyDescent="0.15"/>
    <row r="249" ht="23.25" customHeight="1" x14ac:dyDescent="0.15"/>
    <row r="250" ht="23.25" customHeight="1" x14ac:dyDescent="0.15"/>
    <row r="251" ht="23.25" customHeight="1" x14ac:dyDescent="0.15"/>
    <row r="252" ht="23.25" customHeight="1" x14ac:dyDescent="0.15"/>
    <row r="253" ht="23.25" customHeight="1" x14ac:dyDescent="0.15"/>
    <row r="254" ht="23.25" customHeight="1" x14ac:dyDescent="0.15"/>
    <row r="255" ht="23.25" customHeight="1" x14ac:dyDescent="0.15"/>
    <row r="256" ht="23.25" customHeight="1" x14ac:dyDescent="0.15"/>
    <row r="257" ht="23.25" customHeight="1" x14ac:dyDescent="0.15"/>
    <row r="258" ht="23.25" customHeight="1" x14ac:dyDescent="0.15"/>
    <row r="259" ht="23.25" customHeight="1" x14ac:dyDescent="0.15"/>
    <row r="260" ht="23.25" customHeight="1" x14ac:dyDescent="0.15"/>
    <row r="261" ht="23.25" customHeight="1" x14ac:dyDescent="0.15"/>
    <row r="262" ht="23.25" customHeight="1" x14ac:dyDescent="0.15"/>
    <row r="263" ht="23.25" customHeight="1" x14ac:dyDescent="0.15"/>
    <row r="264" ht="23.25" customHeight="1" x14ac:dyDescent="0.15"/>
    <row r="265" ht="23.25" customHeight="1" x14ac:dyDescent="0.15"/>
    <row r="266" ht="23.25" customHeight="1" x14ac:dyDescent="0.15"/>
    <row r="267" ht="23.25" customHeight="1" x14ac:dyDescent="0.15"/>
    <row r="268" ht="23.25" customHeight="1" x14ac:dyDescent="0.15"/>
    <row r="269" ht="23.25" customHeight="1" x14ac:dyDescent="0.15"/>
    <row r="270" ht="23.25" customHeight="1" x14ac:dyDescent="0.15"/>
    <row r="271" ht="23.25" customHeight="1" x14ac:dyDescent="0.15"/>
    <row r="272" ht="23.25" customHeight="1" x14ac:dyDescent="0.15"/>
    <row r="273" ht="23.25" customHeight="1" x14ac:dyDescent="0.15"/>
    <row r="274" ht="23.25" customHeight="1" x14ac:dyDescent="0.15"/>
    <row r="275" ht="23.25" customHeight="1" x14ac:dyDescent="0.15"/>
    <row r="276" ht="23.25" customHeight="1" x14ac:dyDescent="0.15"/>
    <row r="277" ht="23.25" customHeight="1" x14ac:dyDescent="0.15"/>
    <row r="278" ht="23.25" customHeight="1" x14ac:dyDescent="0.15"/>
    <row r="279" ht="23.25" customHeight="1" x14ac:dyDescent="0.15"/>
    <row r="280" ht="23.25" customHeight="1" x14ac:dyDescent="0.15"/>
    <row r="281" ht="23.25" customHeight="1" x14ac:dyDescent="0.15"/>
    <row r="282" ht="23.25" customHeight="1" x14ac:dyDescent="0.15"/>
    <row r="283" ht="23.25" customHeight="1" x14ac:dyDescent="0.15"/>
    <row r="284" ht="23.25" customHeight="1" x14ac:dyDescent="0.15"/>
    <row r="285" ht="23.25" customHeight="1" x14ac:dyDescent="0.15"/>
    <row r="286" ht="23.25" customHeight="1" x14ac:dyDescent="0.15"/>
    <row r="287" ht="23.25" customHeight="1" x14ac:dyDescent="0.15"/>
    <row r="288" ht="23.25" customHeight="1" x14ac:dyDescent="0.15"/>
    <row r="289" ht="23.25" customHeight="1" x14ac:dyDescent="0.15"/>
    <row r="290" ht="23.25" customHeight="1" x14ac:dyDescent="0.15"/>
    <row r="291" ht="23.25" customHeight="1" x14ac:dyDescent="0.15"/>
    <row r="292" ht="23.25" customHeight="1" x14ac:dyDescent="0.15"/>
    <row r="293" ht="23.25" customHeight="1" x14ac:dyDescent="0.15"/>
    <row r="294" ht="23.25" customHeight="1" x14ac:dyDescent="0.15"/>
    <row r="295" ht="23.25" customHeight="1" x14ac:dyDescent="0.15"/>
  </sheetData>
  <phoneticPr fontId="16" type="noConversion"/>
  <conditionalFormatting sqref="A1">
    <cfRule type="duplicateValues" dxfId="106" priority="29"/>
  </conditionalFormatting>
  <conditionalFormatting sqref="B1">
    <cfRule type="duplicateValues" dxfId="105" priority="28"/>
    <cfRule type="duplicateValues" dxfId="104" priority="30"/>
  </conditionalFormatting>
  <conditionalFormatting sqref="B2:B224 B226:B1048576">
    <cfRule type="duplicateValues" dxfId="103" priority="31"/>
  </conditionalFormatting>
  <pageMargins left="0.75" right="0.75" top="1" bottom="1" header="0.5" footer="0.5"/>
  <pageSetup paperSize="9" scale="66"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P32186"/>
  <sheetViews>
    <sheetView tabSelected="1" zoomScale="70" zoomScaleNormal="70" workbookViewId="0">
      <pane ySplit="1" topLeftCell="A7" activePane="bottomLeft" state="frozen"/>
      <selection pane="bottomLeft" activeCell="I36" sqref="I36"/>
    </sheetView>
  </sheetViews>
  <sheetFormatPr defaultColWidth="17.25" defaultRowHeight="20.100000000000001" customHeight="1" x14ac:dyDescent="0.15"/>
  <cols>
    <col min="1" max="1" width="12" style="20" customWidth="1"/>
    <col min="2" max="2" width="8" style="17" customWidth="1"/>
    <col min="3" max="3" width="12" style="21" customWidth="1"/>
    <col min="4" max="4" width="27" style="19" customWidth="1"/>
    <col min="5" max="5" width="14" style="22" bestFit="1" customWidth="1"/>
    <col min="6" max="6" width="22" style="23" bestFit="1" customWidth="1"/>
    <col min="7" max="7" width="22" style="23" customWidth="1"/>
    <col min="8" max="8" width="27" style="19" customWidth="1"/>
    <col min="9" max="9" width="34" style="24" customWidth="1"/>
    <col min="10" max="10" width="27" style="25" customWidth="1"/>
    <col min="11" max="11" width="12" style="17" customWidth="1"/>
    <col min="12" max="12" width="12" style="80" customWidth="1"/>
    <col min="13" max="13" width="15" style="17" customWidth="1"/>
    <col min="14" max="14" width="4" style="22" customWidth="1"/>
    <col min="15" max="15" width="4" style="17" customWidth="1"/>
    <col min="16" max="16" width="4" style="80" customWidth="1"/>
    <col min="17" max="17" width="4" style="17" customWidth="1"/>
    <col min="18" max="20" width="17.25" style="17" customWidth="1"/>
    <col min="21" max="16384" width="17.25" style="17"/>
  </cols>
  <sheetData>
    <row r="1" spans="1:16" s="16" customFormat="1" ht="39.950000000000003" customHeight="1" x14ac:dyDescent="0.15">
      <c r="A1" s="34" t="s">
        <v>80</v>
      </c>
      <c r="B1" s="35" t="s">
        <v>381</v>
      </c>
      <c r="C1" s="36" t="s">
        <v>382</v>
      </c>
      <c r="D1" s="64" t="s">
        <v>383</v>
      </c>
      <c r="E1" s="37" t="s">
        <v>6</v>
      </c>
      <c r="F1" s="38" t="s">
        <v>82</v>
      </c>
      <c r="G1" s="39" t="s">
        <v>83</v>
      </c>
      <c r="H1" s="34" t="s">
        <v>11</v>
      </c>
      <c r="I1" s="40" t="s">
        <v>12</v>
      </c>
      <c r="J1" s="65" t="s">
        <v>84</v>
      </c>
      <c r="K1" s="41" t="s">
        <v>384</v>
      </c>
      <c r="L1" s="34" t="s">
        <v>385</v>
      </c>
      <c r="M1" s="34" t="s">
        <v>386</v>
      </c>
      <c r="N1" s="55"/>
      <c r="O1" s="55"/>
      <c r="P1" s="55"/>
    </row>
    <row r="2" spans="1:16" ht="30" customHeight="1" x14ac:dyDescent="0.2">
      <c r="A2" s="85" t="s">
        <v>16</v>
      </c>
      <c r="B2" s="91"/>
      <c r="C2" s="91"/>
      <c r="D2" s="86">
        <f t="shared" ref="D2:D7" si="0">C2*0.66*1</f>
        <v>0</v>
      </c>
      <c r="E2" s="87">
        <v>570</v>
      </c>
      <c r="F2" s="87">
        <f t="shared" ref="F2:F7" si="1">D2</f>
        <v>0</v>
      </c>
      <c r="G2" s="85" t="e">
        <f t="shared" ref="G2:G7" si="2">F2/B2</f>
        <v>#DIV/0!</v>
      </c>
      <c r="H2" s="85" t="s">
        <v>17</v>
      </c>
      <c r="I2" s="87" t="s">
        <v>18</v>
      </c>
      <c r="J2" s="85" t="e">
        <f t="shared" ref="J2:J7" si="3">40-G2</f>
        <v>#DIV/0!</v>
      </c>
      <c r="K2" s="91"/>
      <c r="L2" s="78"/>
      <c r="M2" s="77" t="e">
        <f t="shared" ref="M2:M7" si="4">22*L2/F2</f>
        <v>#DIV/0!</v>
      </c>
      <c r="N2" s="78"/>
      <c r="O2" s="78"/>
      <c r="P2" s="78"/>
    </row>
    <row r="3" spans="1:16" ht="30" customHeight="1" x14ac:dyDescent="0.2">
      <c r="A3" s="85" t="s">
        <v>19</v>
      </c>
      <c r="B3" s="91"/>
      <c r="C3" s="91"/>
      <c r="D3" s="86">
        <f t="shared" si="0"/>
        <v>0</v>
      </c>
      <c r="E3" s="87">
        <v>560</v>
      </c>
      <c r="F3" s="87">
        <f t="shared" si="1"/>
        <v>0</v>
      </c>
      <c r="G3" s="85" t="e">
        <f t="shared" si="2"/>
        <v>#DIV/0!</v>
      </c>
      <c r="H3" s="85" t="s">
        <v>17</v>
      </c>
      <c r="I3" s="87" t="s">
        <v>18</v>
      </c>
      <c r="J3" s="85" t="e">
        <f t="shared" si="3"/>
        <v>#DIV/0!</v>
      </c>
      <c r="K3" s="91"/>
      <c r="L3" s="78"/>
      <c r="M3" s="77" t="e">
        <f t="shared" si="4"/>
        <v>#DIV/0!</v>
      </c>
      <c r="N3" s="78"/>
      <c r="O3" s="78"/>
      <c r="P3" s="78"/>
    </row>
    <row r="4" spans="1:16" ht="30" customHeight="1" x14ac:dyDescent="0.2">
      <c r="A4" s="85" t="s">
        <v>20</v>
      </c>
      <c r="B4" s="91"/>
      <c r="C4" s="91"/>
      <c r="D4" s="86">
        <f t="shared" si="0"/>
        <v>0</v>
      </c>
      <c r="E4" s="87">
        <v>570</v>
      </c>
      <c r="F4" s="87">
        <f t="shared" si="1"/>
        <v>0</v>
      </c>
      <c r="G4" s="85" t="e">
        <f t="shared" si="2"/>
        <v>#DIV/0!</v>
      </c>
      <c r="H4" s="85" t="s">
        <v>17</v>
      </c>
      <c r="I4" s="87" t="s">
        <v>18</v>
      </c>
      <c r="J4" s="85" t="e">
        <f t="shared" si="3"/>
        <v>#DIV/0!</v>
      </c>
      <c r="K4" s="91"/>
      <c r="L4" s="78"/>
      <c r="M4" s="77" t="e">
        <f t="shared" si="4"/>
        <v>#DIV/0!</v>
      </c>
      <c r="N4" s="78"/>
      <c r="O4" s="78"/>
      <c r="P4" s="78"/>
    </row>
    <row r="5" spans="1:16" ht="30" customHeight="1" x14ac:dyDescent="0.2">
      <c r="A5" s="85" t="s">
        <v>21</v>
      </c>
      <c r="B5" s="91"/>
      <c r="C5" s="91"/>
      <c r="D5" s="86">
        <f t="shared" si="0"/>
        <v>0</v>
      </c>
      <c r="E5" s="87">
        <v>570</v>
      </c>
      <c r="F5" s="87">
        <f t="shared" si="1"/>
        <v>0</v>
      </c>
      <c r="G5" s="85" t="e">
        <f t="shared" si="2"/>
        <v>#DIV/0!</v>
      </c>
      <c r="H5" s="85" t="s">
        <v>17</v>
      </c>
      <c r="I5" s="87" t="s">
        <v>18</v>
      </c>
      <c r="J5" s="85" t="e">
        <f t="shared" si="3"/>
        <v>#DIV/0!</v>
      </c>
      <c r="K5" s="91"/>
      <c r="L5" s="78"/>
      <c r="M5" s="77" t="e">
        <f t="shared" si="4"/>
        <v>#DIV/0!</v>
      </c>
      <c r="N5" s="78"/>
      <c r="O5" s="78"/>
      <c r="P5" s="78"/>
    </row>
    <row r="6" spans="1:16" ht="30" customHeight="1" x14ac:dyDescent="0.2">
      <c r="A6" s="85" t="s">
        <v>22</v>
      </c>
      <c r="B6" s="91"/>
      <c r="C6" s="91"/>
      <c r="D6" s="86">
        <f t="shared" si="0"/>
        <v>0</v>
      </c>
      <c r="E6" s="87">
        <v>570</v>
      </c>
      <c r="F6" s="87">
        <f t="shared" si="1"/>
        <v>0</v>
      </c>
      <c r="G6" s="85" t="e">
        <f t="shared" si="2"/>
        <v>#DIV/0!</v>
      </c>
      <c r="H6" s="85" t="s">
        <v>17</v>
      </c>
      <c r="I6" s="87" t="s">
        <v>18</v>
      </c>
      <c r="J6" s="85" t="e">
        <f t="shared" si="3"/>
        <v>#DIV/0!</v>
      </c>
      <c r="K6" s="91"/>
      <c r="L6" s="78"/>
      <c r="M6" s="77" t="e">
        <f t="shared" si="4"/>
        <v>#DIV/0!</v>
      </c>
      <c r="N6" s="78"/>
      <c r="O6" s="78"/>
      <c r="P6" s="78"/>
    </row>
    <row r="7" spans="1:16" ht="30" customHeight="1" x14ac:dyDescent="0.2">
      <c r="A7" s="85" t="s">
        <v>23</v>
      </c>
      <c r="B7" s="91"/>
      <c r="C7" s="91"/>
      <c r="D7" s="86">
        <f t="shared" si="0"/>
        <v>0</v>
      </c>
      <c r="E7" s="87">
        <v>923</v>
      </c>
      <c r="F7" s="87">
        <f t="shared" si="1"/>
        <v>0</v>
      </c>
      <c r="G7" s="85" t="e">
        <f t="shared" si="2"/>
        <v>#DIV/0!</v>
      </c>
      <c r="H7" s="85" t="s">
        <v>17</v>
      </c>
      <c r="I7" s="87" t="s">
        <v>18</v>
      </c>
      <c r="J7" s="85" t="e">
        <f t="shared" si="3"/>
        <v>#DIV/0!</v>
      </c>
      <c r="K7" s="91"/>
      <c r="L7" s="78"/>
      <c r="M7" s="77" t="e">
        <f t="shared" si="4"/>
        <v>#DIV/0!</v>
      </c>
      <c r="N7" s="78"/>
      <c r="O7" s="78"/>
      <c r="P7" s="78"/>
    </row>
    <row r="8" spans="1:16" ht="30" customHeight="1" x14ac:dyDescent="0.2">
      <c r="A8" s="78"/>
      <c r="B8" s="78"/>
      <c r="C8" s="78"/>
      <c r="D8" s="83"/>
      <c r="E8" s="84"/>
      <c r="F8" s="84"/>
      <c r="G8" s="78"/>
      <c r="H8" s="78"/>
      <c r="I8" s="84"/>
      <c r="J8" s="78"/>
      <c r="K8" s="78"/>
      <c r="L8" s="78"/>
      <c r="M8" s="78"/>
      <c r="N8" s="78"/>
      <c r="O8" s="78"/>
      <c r="P8" s="78"/>
    </row>
    <row r="9" spans="1:16" s="18" customFormat="1" ht="30" customHeight="1" x14ac:dyDescent="0.2">
      <c r="A9" s="85" t="s">
        <v>25</v>
      </c>
      <c r="B9" s="91"/>
      <c r="C9" s="91"/>
      <c r="D9" s="86">
        <f t="shared" ref="D9:D37" si="5">C9*0.66*1</f>
        <v>0</v>
      </c>
      <c r="E9" s="87">
        <v>11.21</v>
      </c>
      <c r="F9" s="87">
        <f t="shared" ref="F9:F37" si="6">D9</f>
        <v>0</v>
      </c>
      <c r="G9" s="85" t="e">
        <f t="shared" ref="G9:G37" si="7">F9/B9</f>
        <v>#DIV/0!</v>
      </c>
      <c r="H9" s="85" t="s">
        <v>26</v>
      </c>
      <c r="I9" s="87" t="s">
        <v>27</v>
      </c>
      <c r="J9" s="85" t="e">
        <f t="shared" ref="J9:J37" si="8">40-G9</f>
        <v>#DIV/0!</v>
      </c>
      <c r="K9" s="91"/>
      <c r="L9" s="78"/>
      <c r="M9" s="77" t="e">
        <f t="shared" ref="M9:M37" si="9">22*L9/F9</f>
        <v>#DIV/0!</v>
      </c>
      <c r="N9" s="78"/>
      <c r="O9" s="78"/>
      <c r="P9" s="78"/>
    </row>
    <row r="10" spans="1:16" s="18" customFormat="1" ht="30" customHeight="1" x14ac:dyDescent="0.2">
      <c r="A10" s="85" t="s">
        <v>28</v>
      </c>
      <c r="B10" s="91"/>
      <c r="C10" s="91"/>
      <c r="D10" s="86">
        <f t="shared" si="5"/>
        <v>0</v>
      </c>
      <c r="E10" s="87">
        <v>0.1</v>
      </c>
      <c r="F10" s="87">
        <f t="shared" si="6"/>
        <v>0</v>
      </c>
      <c r="G10" s="85" t="e">
        <f t="shared" si="7"/>
        <v>#DIV/0!</v>
      </c>
      <c r="H10" s="85" t="s">
        <v>29</v>
      </c>
      <c r="I10" s="87" t="s">
        <v>27</v>
      </c>
      <c r="J10" s="85" t="e">
        <f t="shared" si="8"/>
        <v>#DIV/0!</v>
      </c>
      <c r="K10" s="91"/>
      <c r="L10" s="78"/>
      <c r="M10" s="77" t="e">
        <f t="shared" si="9"/>
        <v>#DIV/0!</v>
      </c>
      <c r="N10" s="78"/>
      <c r="O10" s="78"/>
      <c r="P10" s="78"/>
    </row>
    <row r="11" spans="1:16" ht="30" customHeight="1" x14ac:dyDescent="0.2">
      <c r="A11" s="85" t="s">
        <v>30</v>
      </c>
      <c r="B11" s="91"/>
      <c r="C11" s="91"/>
      <c r="D11" s="86">
        <f t="shared" si="5"/>
        <v>0</v>
      </c>
      <c r="E11" s="87">
        <v>0.37</v>
      </c>
      <c r="F11" s="87">
        <f t="shared" si="6"/>
        <v>0</v>
      </c>
      <c r="G11" s="85" t="e">
        <f t="shared" si="7"/>
        <v>#DIV/0!</v>
      </c>
      <c r="H11" s="85" t="s">
        <v>31</v>
      </c>
      <c r="I11" s="87" t="s">
        <v>27</v>
      </c>
      <c r="J11" s="85" t="e">
        <f t="shared" si="8"/>
        <v>#DIV/0!</v>
      </c>
      <c r="K11" s="91"/>
      <c r="L11" s="78"/>
      <c r="M11" s="77" t="e">
        <f t="shared" si="9"/>
        <v>#DIV/0!</v>
      </c>
      <c r="N11" s="78"/>
      <c r="O11" s="78"/>
      <c r="P11" s="78"/>
    </row>
    <row r="12" spans="1:16" ht="30" customHeight="1" x14ac:dyDescent="0.2">
      <c r="A12" s="85" t="s">
        <v>32</v>
      </c>
      <c r="B12" s="91"/>
      <c r="C12" s="91"/>
      <c r="D12" s="86">
        <f t="shared" si="5"/>
        <v>0</v>
      </c>
      <c r="E12" s="87">
        <v>0.73</v>
      </c>
      <c r="F12" s="87">
        <f t="shared" si="6"/>
        <v>0</v>
      </c>
      <c r="G12" s="85" t="e">
        <f t="shared" si="7"/>
        <v>#DIV/0!</v>
      </c>
      <c r="H12" s="85" t="s">
        <v>31</v>
      </c>
      <c r="I12" s="87" t="s">
        <v>27</v>
      </c>
      <c r="J12" s="85" t="e">
        <f t="shared" si="8"/>
        <v>#DIV/0!</v>
      </c>
      <c r="K12" s="91"/>
      <c r="L12" s="78"/>
      <c r="M12" s="77" t="e">
        <f t="shared" si="9"/>
        <v>#DIV/0!</v>
      </c>
      <c r="N12" s="78"/>
      <c r="O12" s="78"/>
      <c r="P12" s="78"/>
    </row>
    <row r="13" spans="1:16" ht="30" customHeight="1" x14ac:dyDescent="0.2">
      <c r="A13" s="85" t="s">
        <v>33</v>
      </c>
      <c r="B13" s="91"/>
      <c r="C13" s="91"/>
      <c r="D13" s="86">
        <f t="shared" si="5"/>
        <v>0</v>
      </c>
      <c r="E13" s="87">
        <v>720</v>
      </c>
      <c r="F13" s="87">
        <f t="shared" si="6"/>
        <v>0</v>
      </c>
      <c r="G13" s="85" t="e">
        <f t="shared" si="7"/>
        <v>#DIV/0!</v>
      </c>
      <c r="H13" s="85" t="s">
        <v>34</v>
      </c>
      <c r="I13" s="87" t="s">
        <v>35</v>
      </c>
      <c r="J13" s="85" t="e">
        <f t="shared" si="8"/>
        <v>#DIV/0!</v>
      </c>
      <c r="K13" s="91"/>
      <c r="L13" s="78"/>
      <c r="M13" s="77" t="e">
        <f t="shared" si="9"/>
        <v>#DIV/0!</v>
      </c>
      <c r="N13" s="78"/>
      <c r="O13" s="78"/>
      <c r="P13" s="78"/>
    </row>
    <row r="14" spans="1:16" ht="30" customHeight="1" x14ac:dyDescent="0.2">
      <c r="A14" s="85" t="s">
        <v>36</v>
      </c>
      <c r="B14" s="91"/>
      <c r="C14" s="91"/>
      <c r="D14" s="86">
        <f t="shared" si="5"/>
        <v>0</v>
      </c>
      <c r="E14" s="87">
        <v>12</v>
      </c>
      <c r="F14" s="87">
        <f t="shared" si="6"/>
        <v>0</v>
      </c>
      <c r="G14" s="85" t="e">
        <f t="shared" si="7"/>
        <v>#DIV/0!</v>
      </c>
      <c r="H14" s="85" t="s">
        <v>37</v>
      </c>
      <c r="I14" s="87" t="s">
        <v>35</v>
      </c>
      <c r="J14" s="85" t="e">
        <f t="shared" si="8"/>
        <v>#DIV/0!</v>
      </c>
      <c r="K14" s="91"/>
      <c r="L14" s="78"/>
      <c r="M14" s="77" t="e">
        <f t="shared" si="9"/>
        <v>#DIV/0!</v>
      </c>
      <c r="N14" s="78"/>
      <c r="O14" s="78"/>
      <c r="P14" s="78"/>
    </row>
    <row r="15" spans="1:16" ht="30" customHeight="1" x14ac:dyDescent="0.2">
      <c r="A15" s="85" t="s">
        <v>38</v>
      </c>
      <c r="B15" s="91"/>
      <c r="C15" s="91"/>
      <c r="D15" s="86">
        <f t="shared" si="5"/>
        <v>0</v>
      </c>
      <c r="E15" s="87">
        <v>12</v>
      </c>
      <c r="F15" s="87">
        <f t="shared" si="6"/>
        <v>0</v>
      </c>
      <c r="G15" s="85" t="e">
        <f t="shared" si="7"/>
        <v>#DIV/0!</v>
      </c>
      <c r="H15" s="85" t="s">
        <v>39</v>
      </c>
      <c r="I15" s="87" t="s">
        <v>35</v>
      </c>
      <c r="J15" s="85" t="e">
        <f t="shared" si="8"/>
        <v>#DIV/0!</v>
      </c>
      <c r="K15" s="91"/>
      <c r="L15" s="78"/>
      <c r="M15" s="77" t="e">
        <f t="shared" si="9"/>
        <v>#DIV/0!</v>
      </c>
      <c r="N15" s="78"/>
      <c r="O15" s="78"/>
      <c r="P15" s="78"/>
    </row>
    <row r="16" spans="1:16" ht="30" customHeight="1" x14ac:dyDescent="0.2">
      <c r="A16" s="85" t="s">
        <v>40</v>
      </c>
      <c r="B16" s="91"/>
      <c r="C16" s="91"/>
      <c r="D16" s="86">
        <f t="shared" si="5"/>
        <v>0</v>
      </c>
      <c r="E16" s="87">
        <v>12</v>
      </c>
      <c r="F16" s="87">
        <f t="shared" si="6"/>
        <v>0</v>
      </c>
      <c r="G16" s="85" t="e">
        <f t="shared" si="7"/>
        <v>#DIV/0!</v>
      </c>
      <c r="H16" s="85" t="s">
        <v>17</v>
      </c>
      <c r="I16" s="87" t="s">
        <v>18</v>
      </c>
      <c r="J16" s="85" t="e">
        <f t="shared" si="8"/>
        <v>#DIV/0!</v>
      </c>
      <c r="K16" s="91"/>
      <c r="L16" s="78"/>
      <c r="M16" s="77" t="e">
        <f t="shared" si="9"/>
        <v>#DIV/0!</v>
      </c>
      <c r="N16" s="78"/>
      <c r="O16" s="78"/>
      <c r="P16" s="78"/>
    </row>
    <row r="17" spans="1:16" ht="30" customHeight="1" x14ac:dyDescent="0.2">
      <c r="A17" s="85" t="s">
        <v>41</v>
      </c>
      <c r="B17" s="91"/>
      <c r="C17" s="91"/>
      <c r="D17" s="86">
        <f t="shared" si="5"/>
        <v>0</v>
      </c>
      <c r="E17" s="87">
        <v>35</v>
      </c>
      <c r="F17" s="87">
        <f t="shared" si="6"/>
        <v>0</v>
      </c>
      <c r="G17" s="85" t="e">
        <f t="shared" si="7"/>
        <v>#DIV/0!</v>
      </c>
      <c r="H17" s="85" t="s">
        <v>17</v>
      </c>
      <c r="I17" s="87" t="s">
        <v>18</v>
      </c>
      <c r="J17" s="85" t="e">
        <f t="shared" si="8"/>
        <v>#DIV/0!</v>
      </c>
      <c r="K17" s="91"/>
      <c r="L17" s="78"/>
      <c r="M17" s="77" t="e">
        <f t="shared" si="9"/>
        <v>#DIV/0!</v>
      </c>
      <c r="N17" s="78"/>
      <c r="O17" s="78"/>
      <c r="P17" s="78"/>
    </row>
    <row r="18" spans="1:16" ht="30" customHeight="1" x14ac:dyDescent="0.2">
      <c r="A18" s="85" t="s">
        <v>42</v>
      </c>
      <c r="B18" s="91"/>
      <c r="C18" s="91"/>
      <c r="D18" s="86">
        <f t="shared" si="5"/>
        <v>0</v>
      </c>
      <c r="E18" s="87">
        <v>7</v>
      </c>
      <c r="F18" s="87">
        <f t="shared" si="6"/>
        <v>0</v>
      </c>
      <c r="G18" s="85" t="e">
        <f t="shared" si="7"/>
        <v>#DIV/0!</v>
      </c>
      <c r="H18" s="85" t="s">
        <v>17</v>
      </c>
      <c r="I18" s="87" t="s">
        <v>18</v>
      </c>
      <c r="J18" s="85" t="e">
        <f t="shared" si="8"/>
        <v>#DIV/0!</v>
      </c>
      <c r="K18" s="91"/>
      <c r="L18" s="78"/>
      <c r="M18" s="77" t="e">
        <f t="shared" si="9"/>
        <v>#DIV/0!</v>
      </c>
      <c r="N18" s="78"/>
      <c r="O18" s="78"/>
      <c r="P18" s="78"/>
    </row>
    <row r="19" spans="1:16" ht="30" customHeight="1" x14ac:dyDescent="0.2">
      <c r="A19" s="85" t="s">
        <v>43</v>
      </c>
      <c r="B19" s="91"/>
      <c r="C19" s="91"/>
      <c r="D19" s="86">
        <f t="shared" si="5"/>
        <v>0</v>
      </c>
      <c r="E19" s="87">
        <v>4</v>
      </c>
      <c r="F19" s="87">
        <f t="shared" si="6"/>
        <v>0</v>
      </c>
      <c r="G19" s="85" t="e">
        <f t="shared" si="7"/>
        <v>#DIV/0!</v>
      </c>
      <c r="H19" s="85" t="s">
        <v>44</v>
      </c>
      <c r="I19" s="87" t="s">
        <v>18</v>
      </c>
      <c r="J19" s="85" t="e">
        <f t="shared" si="8"/>
        <v>#DIV/0!</v>
      </c>
      <c r="K19" s="91"/>
      <c r="L19" s="78"/>
      <c r="M19" s="77" t="e">
        <f t="shared" si="9"/>
        <v>#DIV/0!</v>
      </c>
      <c r="N19" s="78"/>
      <c r="O19" s="78"/>
      <c r="P19" s="78"/>
    </row>
    <row r="20" spans="1:16" ht="30" customHeight="1" x14ac:dyDescent="0.2">
      <c r="A20" s="85" t="s">
        <v>45</v>
      </c>
      <c r="B20" s="91"/>
      <c r="C20" s="91"/>
      <c r="D20" s="86">
        <f t="shared" si="5"/>
        <v>0</v>
      </c>
      <c r="E20" s="87">
        <v>108</v>
      </c>
      <c r="F20" s="87">
        <f t="shared" si="6"/>
        <v>0</v>
      </c>
      <c r="G20" s="85" t="e">
        <f t="shared" si="7"/>
        <v>#DIV/0!</v>
      </c>
      <c r="H20" s="85" t="s">
        <v>46</v>
      </c>
      <c r="I20" s="87" t="s">
        <v>47</v>
      </c>
      <c r="J20" s="85" t="e">
        <f t="shared" si="8"/>
        <v>#DIV/0!</v>
      </c>
      <c r="K20" s="91"/>
      <c r="L20" s="78"/>
      <c r="M20" s="77" t="e">
        <f t="shared" si="9"/>
        <v>#DIV/0!</v>
      </c>
      <c r="N20" s="78"/>
      <c r="O20" s="78"/>
      <c r="P20" s="78"/>
    </row>
    <row r="21" spans="1:16" ht="30" customHeight="1" x14ac:dyDescent="0.2">
      <c r="A21" s="85" t="s">
        <v>48</v>
      </c>
      <c r="B21" s="91"/>
      <c r="C21" s="91"/>
      <c r="D21" s="86">
        <f t="shared" si="5"/>
        <v>0</v>
      </c>
      <c r="E21" s="87">
        <v>22.4</v>
      </c>
      <c r="F21" s="87">
        <f t="shared" si="6"/>
        <v>0</v>
      </c>
      <c r="G21" s="85" t="e">
        <f t="shared" si="7"/>
        <v>#DIV/0!</v>
      </c>
      <c r="H21" s="85" t="s">
        <v>49</v>
      </c>
      <c r="I21" s="87" t="s">
        <v>50</v>
      </c>
      <c r="J21" s="85" t="e">
        <f t="shared" si="8"/>
        <v>#DIV/0!</v>
      </c>
      <c r="K21" s="91"/>
      <c r="L21" s="78"/>
      <c r="M21" s="77" t="e">
        <f t="shared" si="9"/>
        <v>#DIV/0!</v>
      </c>
      <c r="N21" s="78"/>
      <c r="O21" s="78"/>
      <c r="P21" s="78"/>
    </row>
    <row r="22" spans="1:16" ht="30" customHeight="1" x14ac:dyDescent="0.2">
      <c r="A22" s="85" t="s">
        <v>51</v>
      </c>
      <c r="B22" s="91"/>
      <c r="C22" s="91"/>
      <c r="D22" s="86">
        <f t="shared" si="5"/>
        <v>0</v>
      </c>
      <c r="E22" s="87">
        <v>39.1</v>
      </c>
      <c r="F22" s="87">
        <f t="shared" si="6"/>
        <v>0</v>
      </c>
      <c r="G22" s="85" t="e">
        <f t="shared" si="7"/>
        <v>#DIV/0!</v>
      </c>
      <c r="H22" s="85" t="s">
        <v>52</v>
      </c>
      <c r="I22" s="87" t="s">
        <v>50</v>
      </c>
      <c r="J22" s="85" t="e">
        <f t="shared" si="8"/>
        <v>#DIV/0!</v>
      </c>
      <c r="K22" s="91"/>
      <c r="L22" s="78"/>
      <c r="M22" s="77" t="e">
        <f t="shared" si="9"/>
        <v>#DIV/0!</v>
      </c>
      <c r="N22" s="78"/>
      <c r="O22" s="78"/>
      <c r="P22" s="78"/>
    </row>
    <row r="23" spans="1:16" ht="30" customHeight="1" x14ac:dyDescent="0.2">
      <c r="A23" s="85" t="s">
        <v>53</v>
      </c>
      <c r="B23" s="91"/>
      <c r="C23" s="91"/>
      <c r="D23" s="86">
        <f t="shared" si="5"/>
        <v>0</v>
      </c>
      <c r="E23" s="87">
        <v>600</v>
      </c>
      <c r="F23" s="87">
        <f t="shared" si="6"/>
        <v>0</v>
      </c>
      <c r="G23" s="85" t="e">
        <f t="shared" si="7"/>
        <v>#DIV/0!</v>
      </c>
      <c r="H23" s="85" t="s">
        <v>52</v>
      </c>
      <c r="I23" s="87" t="s">
        <v>50</v>
      </c>
      <c r="J23" s="85" t="e">
        <f t="shared" si="8"/>
        <v>#DIV/0!</v>
      </c>
      <c r="K23" s="91"/>
      <c r="L23" s="78"/>
      <c r="M23" s="77" t="e">
        <f t="shared" si="9"/>
        <v>#DIV/0!</v>
      </c>
      <c r="N23" s="78"/>
      <c r="O23" s="78"/>
      <c r="P23" s="78"/>
    </row>
    <row r="24" spans="1:16" ht="30" customHeight="1" x14ac:dyDescent="0.2">
      <c r="A24" s="85" t="s">
        <v>54</v>
      </c>
      <c r="B24" s="91"/>
      <c r="C24" s="91"/>
      <c r="D24" s="86">
        <f t="shared" si="5"/>
        <v>0</v>
      </c>
      <c r="E24" s="87">
        <v>17.989999999999998</v>
      </c>
      <c r="F24" s="87">
        <f t="shared" si="6"/>
        <v>0</v>
      </c>
      <c r="G24" s="85" t="e">
        <f t="shared" si="7"/>
        <v>#DIV/0!</v>
      </c>
      <c r="H24" s="85" t="s">
        <v>55</v>
      </c>
      <c r="I24" s="87" t="s">
        <v>50</v>
      </c>
      <c r="J24" s="85" t="e">
        <f t="shared" si="8"/>
        <v>#DIV/0!</v>
      </c>
      <c r="K24" s="91"/>
      <c r="L24" s="78"/>
      <c r="M24" s="77" t="e">
        <f t="shared" si="9"/>
        <v>#DIV/0!</v>
      </c>
      <c r="N24" s="78"/>
      <c r="O24" s="78"/>
      <c r="P24" s="78"/>
    </row>
    <row r="25" spans="1:16" ht="30" customHeight="1" x14ac:dyDescent="0.2">
      <c r="A25" s="85" t="s">
        <v>56</v>
      </c>
      <c r="B25" s="91"/>
      <c r="C25" s="91"/>
      <c r="D25" s="86">
        <f t="shared" si="5"/>
        <v>0</v>
      </c>
      <c r="E25" s="87">
        <v>100.96</v>
      </c>
      <c r="F25" s="87">
        <f t="shared" si="6"/>
        <v>0</v>
      </c>
      <c r="G25" s="85" t="e">
        <f t="shared" si="7"/>
        <v>#DIV/0!</v>
      </c>
      <c r="H25" s="85" t="s">
        <v>57</v>
      </c>
      <c r="I25" s="87" t="s">
        <v>50</v>
      </c>
      <c r="J25" s="85" t="e">
        <f t="shared" si="8"/>
        <v>#DIV/0!</v>
      </c>
      <c r="K25" s="91"/>
      <c r="L25" s="78"/>
      <c r="M25" s="77" t="e">
        <f t="shared" si="9"/>
        <v>#DIV/0!</v>
      </c>
      <c r="N25" s="78"/>
      <c r="O25" s="78"/>
      <c r="P25" s="78"/>
    </row>
    <row r="26" spans="1:16" ht="30" customHeight="1" x14ac:dyDescent="0.2">
      <c r="A26" s="85" t="s">
        <v>58</v>
      </c>
      <c r="B26" s="91"/>
      <c r="C26" s="91"/>
      <c r="D26" s="86">
        <f t="shared" si="5"/>
        <v>0</v>
      </c>
      <c r="E26" s="87">
        <v>55.75</v>
      </c>
      <c r="F26" s="87">
        <f t="shared" si="6"/>
        <v>0</v>
      </c>
      <c r="G26" s="85" t="e">
        <f t="shared" si="7"/>
        <v>#DIV/0!</v>
      </c>
      <c r="H26" s="85" t="s">
        <v>57</v>
      </c>
      <c r="I26" s="87" t="s">
        <v>50</v>
      </c>
      <c r="J26" s="85" t="e">
        <f t="shared" si="8"/>
        <v>#DIV/0!</v>
      </c>
      <c r="K26" s="91"/>
      <c r="L26" s="78"/>
      <c r="M26" s="77" t="e">
        <f t="shared" si="9"/>
        <v>#DIV/0!</v>
      </c>
      <c r="N26" s="78"/>
      <c r="O26" s="78"/>
      <c r="P26" s="78"/>
    </row>
    <row r="27" spans="1:16" s="18" customFormat="1" ht="30" customHeight="1" x14ac:dyDescent="0.2">
      <c r="A27" s="85" t="s">
        <v>59</v>
      </c>
      <c r="B27" s="91"/>
      <c r="C27" s="91"/>
      <c r="D27" s="86">
        <f t="shared" si="5"/>
        <v>0</v>
      </c>
      <c r="E27" s="87">
        <v>600</v>
      </c>
      <c r="F27" s="87">
        <f t="shared" si="6"/>
        <v>0</v>
      </c>
      <c r="G27" s="85" t="e">
        <f t="shared" si="7"/>
        <v>#DIV/0!</v>
      </c>
      <c r="H27" s="85" t="s">
        <v>60</v>
      </c>
      <c r="I27" s="87" t="s">
        <v>61</v>
      </c>
      <c r="J27" s="85" t="e">
        <f t="shared" si="8"/>
        <v>#DIV/0!</v>
      </c>
      <c r="K27" s="91"/>
      <c r="L27" s="78"/>
      <c r="M27" s="77" t="e">
        <f t="shared" si="9"/>
        <v>#DIV/0!</v>
      </c>
      <c r="N27" s="78"/>
      <c r="O27" s="78"/>
      <c r="P27" s="78"/>
    </row>
    <row r="28" spans="1:16" s="18" customFormat="1" ht="30" customHeight="1" x14ac:dyDescent="0.2">
      <c r="A28" s="85" t="s">
        <v>62</v>
      </c>
      <c r="B28" s="91"/>
      <c r="C28" s="91"/>
      <c r="D28" s="86">
        <f t="shared" si="5"/>
        <v>0</v>
      </c>
      <c r="E28" s="87">
        <v>400</v>
      </c>
      <c r="F28" s="87">
        <f t="shared" si="6"/>
        <v>0</v>
      </c>
      <c r="G28" s="85" t="e">
        <f t="shared" si="7"/>
        <v>#DIV/0!</v>
      </c>
      <c r="H28" s="85" t="s">
        <v>60</v>
      </c>
      <c r="I28" s="87" t="s">
        <v>61</v>
      </c>
      <c r="J28" s="85" t="e">
        <f t="shared" si="8"/>
        <v>#DIV/0!</v>
      </c>
      <c r="K28" s="91"/>
      <c r="L28" s="78"/>
      <c r="M28" s="77" t="e">
        <f t="shared" si="9"/>
        <v>#DIV/0!</v>
      </c>
      <c r="N28" s="78"/>
      <c r="O28" s="78"/>
      <c r="P28" s="78"/>
    </row>
    <row r="29" spans="1:16" ht="30" customHeight="1" x14ac:dyDescent="0.2">
      <c r="A29" s="85" t="s">
        <v>63</v>
      </c>
      <c r="B29" s="91"/>
      <c r="C29" s="91"/>
      <c r="D29" s="86">
        <f t="shared" si="5"/>
        <v>0</v>
      </c>
      <c r="E29" s="87">
        <v>750</v>
      </c>
      <c r="F29" s="87">
        <f t="shared" si="6"/>
        <v>0</v>
      </c>
      <c r="G29" s="85" t="e">
        <f t="shared" si="7"/>
        <v>#DIV/0!</v>
      </c>
      <c r="H29" s="85" t="s">
        <v>60</v>
      </c>
      <c r="I29" s="87" t="s">
        <v>61</v>
      </c>
      <c r="J29" s="85" t="e">
        <f t="shared" si="8"/>
        <v>#DIV/0!</v>
      </c>
      <c r="K29" s="91"/>
      <c r="L29" s="78"/>
      <c r="M29" s="77" t="e">
        <f t="shared" si="9"/>
        <v>#DIV/0!</v>
      </c>
      <c r="N29" s="78"/>
      <c r="O29" s="78"/>
      <c r="P29" s="78"/>
    </row>
    <row r="30" spans="1:16" ht="30" customHeight="1" x14ac:dyDescent="0.2">
      <c r="A30" s="85" t="s">
        <v>64</v>
      </c>
      <c r="B30" s="91"/>
      <c r="C30" s="91"/>
      <c r="D30" s="86">
        <f t="shared" si="5"/>
        <v>0</v>
      </c>
      <c r="E30" s="87">
        <v>60</v>
      </c>
      <c r="F30" s="87">
        <f t="shared" si="6"/>
        <v>0</v>
      </c>
      <c r="G30" s="85" t="e">
        <f t="shared" si="7"/>
        <v>#DIV/0!</v>
      </c>
      <c r="H30" s="85" t="s">
        <v>34</v>
      </c>
      <c r="I30" s="87" t="s">
        <v>35</v>
      </c>
      <c r="J30" s="85" t="e">
        <f t="shared" si="8"/>
        <v>#DIV/0!</v>
      </c>
      <c r="K30" s="91"/>
      <c r="L30" s="78"/>
      <c r="M30" s="77" t="e">
        <f t="shared" si="9"/>
        <v>#DIV/0!</v>
      </c>
      <c r="N30" s="78"/>
      <c r="O30" s="78"/>
      <c r="P30" s="78"/>
    </row>
    <row r="31" spans="1:16" ht="30" customHeight="1" x14ac:dyDescent="0.2">
      <c r="A31" s="85" t="s">
        <v>65</v>
      </c>
      <c r="B31" s="91"/>
      <c r="C31" s="91"/>
      <c r="D31" s="86">
        <f t="shared" si="5"/>
        <v>0</v>
      </c>
      <c r="E31" s="87">
        <v>0.01</v>
      </c>
      <c r="F31" s="87">
        <f t="shared" si="6"/>
        <v>0</v>
      </c>
      <c r="G31" s="85" t="e">
        <f t="shared" si="7"/>
        <v>#DIV/0!</v>
      </c>
      <c r="H31" s="85" t="s">
        <v>66</v>
      </c>
      <c r="I31" s="87" t="s">
        <v>27</v>
      </c>
      <c r="J31" s="85" t="e">
        <f t="shared" si="8"/>
        <v>#DIV/0!</v>
      </c>
      <c r="K31" s="91"/>
      <c r="L31" s="78"/>
      <c r="M31" s="77" t="e">
        <f t="shared" si="9"/>
        <v>#DIV/0!</v>
      </c>
      <c r="N31" s="78"/>
      <c r="O31" s="78"/>
      <c r="P31" s="78"/>
    </row>
    <row r="32" spans="1:16" ht="30" customHeight="1" x14ac:dyDescent="0.2">
      <c r="A32" s="85" t="s">
        <v>67</v>
      </c>
      <c r="B32" s="91"/>
      <c r="C32" s="91"/>
      <c r="D32" s="86">
        <f t="shared" si="5"/>
        <v>0</v>
      </c>
      <c r="E32" s="87">
        <v>0.71</v>
      </c>
      <c r="F32" s="87">
        <f t="shared" si="6"/>
        <v>0</v>
      </c>
      <c r="G32" s="85" t="e">
        <f t="shared" si="7"/>
        <v>#DIV/0!</v>
      </c>
      <c r="H32" s="85" t="s">
        <v>66</v>
      </c>
      <c r="I32" s="87" t="s">
        <v>27</v>
      </c>
      <c r="J32" s="85" t="e">
        <f t="shared" si="8"/>
        <v>#DIV/0!</v>
      </c>
      <c r="K32" s="91"/>
      <c r="L32" s="78"/>
      <c r="M32" s="77" t="e">
        <f t="shared" si="9"/>
        <v>#DIV/0!</v>
      </c>
      <c r="N32" s="78"/>
      <c r="O32" s="78"/>
      <c r="P32" s="78"/>
    </row>
    <row r="33" spans="1:16" ht="30" customHeight="1" x14ac:dyDescent="0.2">
      <c r="A33" s="85" t="s">
        <v>68</v>
      </c>
      <c r="B33" s="91"/>
      <c r="C33" s="91"/>
      <c r="D33" s="86">
        <f t="shared" si="5"/>
        <v>0</v>
      </c>
      <c r="E33" s="87">
        <v>4.25</v>
      </c>
      <c r="F33" s="87">
        <f t="shared" si="6"/>
        <v>0</v>
      </c>
      <c r="G33" s="85" t="e">
        <f t="shared" si="7"/>
        <v>#DIV/0!</v>
      </c>
      <c r="H33" s="85" t="s">
        <v>69</v>
      </c>
      <c r="I33" s="87" t="s">
        <v>70</v>
      </c>
      <c r="J33" s="85" t="e">
        <f t="shared" si="8"/>
        <v>#DIV/0!</v>
      </c>
      <c r="K33" s="91"/>
      <c r="L33" s="78"/>
      <c r="M33" s="77" t="e">
        <f t="shared" si="9"/>
        <v>#DIV/0!</v>
      </c>
      <c r="N33" s="78"/>
      <c r="O33" s="78"/>
      <c r="P33" s="78"/>
    </row>
    <row r="34" spans="1:16" ht="30" customHeight="1" x14ac:dyDescent="0.2">
      <c r="A34" s="85" t="s">
        <v>71</v>
      </c>
      <c r="B34" s="91"/>
      <c r="C34" s="91"/>
      <c r="D34" s="86">
        <f t="shared" si="5"/>
        <v>0</v>
      </c>
      <c r="E34" s="87">
        <v>2.1800000000000002</v>
      </c>
      <c r="F34" s="87">
        <f t="shared" si="6"/>
        <v>0</v>
      </c>
      <c r="G34" s="85" t="e">
        <f t="shared" si="7"/>
        <v>#DIV/0!</v>
      </c>
      <c r="H34" s="85" t="s">
        <v>72</v>
      </c>
      <c r="I34" s="87" t="s">
        <v>73</v>
      </c>
      <c r="J34" s="85" t="e">
        <f t="shared" si="8"/>
        <v>#DIV/0!</v>
      </c>
      <c r="K34" s="91"/>
      <c r="L34" s="78"/>
      <c r="M34" s="77" t="e">
        <f t="shared" si="9"/>
        <v>#DIV/0!</v>
      </c>
      <c r="N34" s="78"/>
      <c r="O34" s="78"/>
      <c r="P34" s="78"/>
    </row>
    <row r="35" spans="1:16" ht="30" customHeight="1" x14ac:dyDescent="0.2">
      <c r="A35" s="85" t="s">
        <v>74</v>
      </c>
      <c r="B35" s="91"/>
      <c r="C35" s="91"/>
      <c r="D35" s="86">
        <f t="shared" si="5"/>
        <v>0</v>
      </c>
      <c r="E35" s="87">
        <v>12.17</v>
      </c>
      <c r="F35" s="87">
        <f t="shared" si="6"/>
        <v>0</v>
      </c>
      <c r="G35" s="85" t="e">
        <f t="shared" si="7"/>
        <v>#DIV/0!</v>
      </c>
      <c r="H35" s="85" t="s">
        <v>72</v>
      </c>
      <c r="I35" s="87" t="s">
        <v>73</v>
      </c>
      <c r="J35" s="85" t="e">
        <f t="shared" si="8"/>
        <v>#DIV/0!</v>
      </c>
      <c r="K35" s="91"/>
      <c r="L35" s="78"/>
      <c r="M35" s="77" t="e">
        <f t="shared" si="9"/>
        <v>#DIV/0!</v>
      </c>
      <c r="N35" s="78"/>
      <c r="O35" s="78"/>
      <c r="P35" s="78"/>
    </row>
    <row r="36" spans="1:16" ht="30" customHeight="1" x14ac:dyDescent="0.2">
      <c r="A36" s="85" t="s">
        <v>75</v>
      </c>
      <c r="B36" s="91"/>
      <c r="C36" s="91"/>
      <c r="D36" s="86">
        <f t="shared" si="5"/>
        <v>0</v>
      </c>
      <c r="E36" s="87">
        <v>11.98</v>
      </c>
      <c r="F36" s="87">
        <f t="shared" si="6"/>
        <v>0</v>
      </c>
      <c r="G36" s="85" t="e">
        <f t="shared" si="7"/>
        <v>#DIV/0!</v>
      </c>
      <c r="H36" s="85" t="s">
        <v>76</v>
      </c>
      <c r="I36" s="87" t="s">
        <v>73</v>
      </c>
      <c r="J36" s="85" t="e">
        <f t="shared" si="8"/>
        <v>#DIV/0!</v>
      </c>
      <c r="K36" s="91"/>
      <c r="L36" s="78"/>
      <c r="M36" s="77" t="e">
        <f t="shared" si="9"/>
        <v>#DIV/0!</v>
      </c>
      <c r="N36" s="78"/>
      <c r="O36" s="78"/>
      <c r="P36" s="78"/>
    </row>
    <row r="37" spans="1:16" ht="30" customHeight="1" x14ac:dyDescent="0.2">
      <c r="A37" s="85" t="s">
        <v>77</v>
      </c>
      <c r="B37" s="91"/>
      <c r="C37" s="91"/>
      <c r="D37" s="86">
        <f t="shared" si="5"/>
        <v>0</v>
      </c>
      <c r="E37" s="87">
        <v>34.869999999999997</v>
      </c>
      <c r="F37" s="87">
        <f t="shared" si="6"/>
        <v>0</v>
      </c>
      <c r="G37" s="85" t="e">
        <f t="shared" si="7"/>
        <v>#DIV/0!</v>
      </c>
      <c r="H37" s="85" t="s">
        <v>78</v>
      </c>
      <c r="I37" s="87" t="s">
        <v>73</v>
      </c>
      <c r="J37" s="85" t="e">
        <f t="shared" si="8"/>
        <v>#DIV/0!</v>
      </c>
      <c r="K37" s="91"/>
      <c r="L37" s="78"/>
      <c r="M37" s="77" t="e">
        <f t="shared" si="9"/>
        <v>#DIV/0!</v>
      </c>
      <c r="N37" s="78"/>
      <c r="O37" s="78"/>
      <c r="P37" s="78"/>
    </row>
    <row r="38" spans="1:16" ht="30" customHeight="1" x14ac:dyDescent="0.15"/>
    <row r="39" spans="1:16" ht="30" customHeight="1" x14ac:dyDescent="0.15"/>
    <row r="40" spans="1:16" ht="30" customHeight="1" x14ac:dyDescent="0.15"/>
    <row r="41" spans="1:16" ht="30" customHeight="1" x14ac:dyDescent="0.15"/>
    <row r="42" spans="1:16" ht="30" customHeight="1" x14ac:dyDescent="0.15"/>
    <row r="43" spans="1:16" ht="30" customHeight="1" x14ac:dyDescent="0.15"/>
    <row r="44" spans="1:16" ht="30" customHeight="1" x14ac:dyDescent="0.15"/>
    <row r="45" spans="1:16" ht="30" customHeight="1" x14ac:dyDescent="0.15"/>
    <row r="46" spans="1:16" ht="30" customHeight="1" x14ac:dyDescent="0.15"/>
    <row r="47" spans="1:16" ht="30" customHeight="1" x14ac:dyDescent="0.15"/>
    <row r="48" spans="1:16" ht="30" customHeight="1" x14ac:dyDescent="0.15"/>
    <row r="49" ht="30" customHeight="1" x14ac:dyDescent="0.15"/>
    <row r="50" ht="30" customHeight="1" x14ac:dyDescent="0.15"/>
    <row r="51" ht="30" customHeight="1" x14ac:dyDescent="0.15"/>
    <row r="52" ht="30" customHeight="1" x14ac:dyDescent="0.15"/>
    <row r="53" ht="30" customHeight="1" x14ac:dyDescent="0.15"/>
    <row r="54" ht="30" customHeight="1" x14ac:dyDescent="0.15"/>
    <row r="55" ht="30" customHeight="1" x14ac:dyDescent="0.15"/>
    <row r="56" s="18" customFormat="1" ht="30" customHeight="1" x14ac:dyDescent="0.15"/>
    <row r="57" ht="30" customHeight="1" x14ac:dyDescent="0.15"/>
    <row r="58" ht="30" customHeight="1" x14ac:dyDescent="0.15"/>
    <row r="59" ht="30" customHeight="1" x14ac:dyDescent="0.15"/>
    <row r="60" ht="18.75" customHeight="1" x14ac:dyDescent="0.15"/>
    <row r="61" ht="18.75" customHeight="1" x14ac:dyDescent="0.15"/>
    <row r="62" ht="18.75" customHeight="1" x14ac:dyDescent="0.15"/>
    <row r="63" ht="18.75" customHeight="1" x14ac:dyDescent="0.15"/>
    <row r="64" ht="18.75" customHeight="1" x14ac:dyDescent="0.15"/>
    <row r="65" ht="18.75" customHeight="1" x14ac:dyDescent="0.15"/>
    <row r="66" ht="18.75" customHeight="1" x14ac:dyDescent="0.15"/>
    <row r="67" ht="18.75" customHeight="1" x14ac:dyDescent="0.15"/>
    <row r="68" ht="18.75" customHeight="1" x14ac:dyDescent="0.15"/>
    <row r="69" ht="18.75" customHeight="1" x14ac:dyDescent="0.15"/>
    <row r="70" ht="18.75" customHeight="1" x14ac:dyDescent="0.15"/>
    <row r="71" ht="18.75" customHeight="1" x14ac:dyDescent="0.15"/>
    <row r="72" ht="18.75" customHeight="1" x14ac:dyDescent="0.15"/>
    <row r="73" ht="18.75" customHeight="1" x14ac:dyDescent="0.15"/>
    <row r="74" ht="18.75" customHeight="1" x14ac:dyDescent="0.15"/>
    <row r="75" ht="18.75" customHeight="1" x14ac:dyDescent="0.15"/>
    <row r="32186" s="19" customFormat="1" ht="20.100000000000001" customHeight="1" x14ac:dyDescent="0.15"/>
  </sheetData>
  <phoneticPr fontId="16" type="noConversion"/>
  <conditionalFormatting sqref="A1 B57:B1048576">
    <cfRule type="duplicateValues" dxfId="102" priority="18"/>
  </conditionalFormatting>
  <conditionalFormatting sqref="A57:A1048576">
    <cfRule type="duplicateValues" dxfId="101" priority="16"/>
  </conditionalFormatting>
  <conditionalFormatting sqref="G1 G57:G1048576">
    <cfRule type="cellIs" dxfId="100" priority="17" operator="greaterThan">
      <formula>48</formula>
    </cfRule>
  </conditionalFormatting>
  <conditionalFormatting sqref="L1 M57:M1048576">
    <cfRule type="duplicateValues" dxfId="99" priority="19"/>
  </conditionalFormatting>
  <conditionalFormatting sqref="M1">
    <cfRule type="duplicateValues" dxfId="98" priority="15"/>
  </conditionalFormatting>
  <conditionalFormatting sqref="M1:M8 M57:M1048576">
    <cfRule type="cellIs" dxfId="97" priority="14" operator="greaterThan">
      <formula>0.2</formula>
    </cfRule>
  </conditionalFormatting>
  <conditionalFormatting sqref="M2:M8">
    <cfRule type="cellIs" dxfId="96" priority="13" operator="lessThan">
      <formula>0.12</formula>
    </cfRule>
  </conditionalFormatting>
  <conditionalFormatting sqref="M11:M26">
    <cfRule type="cellIs" dxfId="95" priority="3" operator="lessThan">
      <formula>0.12</formula>
    </cfRule>
    <cfRule type="cellIs" dxfId="94" priority="4" operator="greaterThan">
      <formula>0.2</formula>
    </cfRule>
  </conditionalFormatting>
  <conditionalFormatting sqref="M29:M55">
    <cfRule type="cellIs" dxfId="93" priority="1" operator="lessThan">
      <formula>0.12</formula>
    </cfRule>
    <cfRule type="cellIs" dxfId="92" priority="2" operator="greaterThan">
      <formula>0.2</formula>
    </cfRule>
  </conditionalFormatting>
  <printOptions horizontalCentered="1"/>
  <pageMargins left="0.75" right="0.75" top="0.98" bottom="0.98" header="0.51" footer="0.51"/>
  <pageSetup paperSize="9" scale="27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33383"/>
  <sheetViews>
    <sheetView zoomScale="60" zoomScaleNormal="60" workbookViewId="0">
      <selection activeCell="K5" sqref="K5"/>
    </sheetView>
  </sheetViews>
  <sheetFormatPr defaultColWidth="9" defaultRowHeight="30" customHeight="1" x14ac:dyDescent="0.15"/>
  <cols>
    <col min="1" max="1" width="10" style="4" customWidth="1"/>
    <col min="2" max="2" width="17" style="3" customWidth="1"/>
    <col min="3" max="3" width="13" style="4" customWidth="1"/>
    <col min="4" max="4" width="19" style="8" customWidth="1"/>
    <col min="5" max="5" width="60" style="10" customWidth="1"/>
    <col min="6" max="6" width="25" style="80" customWidth="1"/>
    <col min="7" max="7" width="14" style="8" customWidth="1"/>
    <col min="8" max="8" width="16" style="6" customWidth="1"/>
    <col min="9" max="9" width="21" style="11" customWidth="1"/>
    <col min="10" max="10" width="12" style="6" customWidth="1"/>
    <col min="11" max="11" width="16" style="11" customWidth="1"/>
    <col min="12" max="12" width="16" style="80" customWidth="1"/>
    <col min="13" max="13" width="17" style="10" customWidth="1"/>
    <col min="14" max="14" width="27" style="2" customWidth="1"/>
    <col min="15" max="15" width="34" style="2" customWidth="1"/>
    <col min="16" max="16" width="14" style="2" customWidth="1"/>
    <col min="17" max="17" width="16" style="6" customWidth="1"/>
    <col min="18" max="18" width="4" style="12" customWidth="1"/>
    <col min="19" max="19" width="4" style="13" customWidth="1"/>
    <col min="20" max="20" width="12.25" style="14" customWidth="1"/>
    <col min="21" max="21" width="13.75" style="14" customWidth="1"/>
    <col min="22" max="22" width="17.625" style="2" customWidth="1"/>
    <col min="23" max="23" width="12.75" style="15" customWidth="1"/>
    <col min="24" max="24" width="10.875" style="15" customWidth="1"/>
    <col min="25" max="25" width="12.75" style="4" customWidth="1"/>
    <col min="26" max="26" width="9" style="4" customWidth="1"/>
    <col min="27" max="27" width="25.625" style="4" customWidth="1"/>
    <col min="28" max="28" width="12.625" style="4" customWidth="1"/>
    <col min="29" max="35" width="9" style="4" customWidth="1"/>
    <col min="36" max="16384" width="9" style="4"/>
  </cols>
  <sheetData>
    <row r="1" spans="1:19" ht="39.950000000000003" customHeight="1" x14ac:dyDescent="0.2">
      <c r="A1" s="66" t="s">
        <v>0</v>
      </c>
      <c r="B1" s="67" t="s">
        <v>1</v>
      </c>
      <c r="C1" s="68" t="s">
        <v>2</v>
      </c>
      <c r="D1" s="47" t="s">
        <v>3</v>
      </c>
      <c r="E1" s="56"/>
      <c r="F1" s="69" t="s">
        <v>4</v>
      </c>
      <c r="G1" s="70" t="s">
        <v>5</v>
      </c>
      <c r="H1" s="71" t="s">
        <v>6</v>
      </c>
      <c r="I1" s="48" t="s">
        <v>7</v>
      </c>
      <c r="J1" s="49" t="s">
        <v>8</v>
      </c>
      <c r="K1" s="57"/>
      <c r="L1" s="48" t="s">
        <v>9</v>
      </c>
      <c r="M1" s="72" t="s">
        <v>10</v>
      </c>
      <c r="N1" s="73" t="s">
        <v>11</v>
      </c>
      <c r="O1" s="73" t="s">
        <v>12</v>
      </c>
      <c r="P1" s="74" t="s">
        <v>13</v>
      </c>
      <c r="Q1" s="75" t="s">
        <v>14</v>
      </c>
      <c r="R1" s="54"/>
      <c r="S1" s="58"/>
    </row>
    <row r="2" spans="1:19" ht="30" customHeight="1" x14ac:dyDescent="0.2">
      <c r="A2" s="85" t="s">
        <v>15</v>
      </c>
      <c r="B2" s="85" t="s">
        <v>16</v>
      </c>
      <c r="C2" s="91"/>
      <c r="D2" s="92"/>
      <c r="E2" s="87" t="e">
        <f>IF(ABS(D2-D8)&lt;=100,"正常",IF(D2&gt;D8,"偏大"&amp;INT(D2-D8)&amp;"bp","偏小"&amp;INT(D8-D2)&amp;"bp"))</f>
        <v>#NUM!</v>
      </c>
      <c r="F2" s="87" t="e">
        <f t="shared" ref="F2:F7" si="0">D2*0.33*G2*0.001</f>
        <v>#DIV/0!</v>
      </c>
      <c r="G2" s="85" t="e">
        <f t="shared" ref="G2:G7" si="1">900*L2</f>
        <v>#DIV/0!</v>
      </c>
      <c r="H2" s="85">
        <v>570</v>
      </c>
      <c r="I2" s="87">
        <f>ROUND(H2/H8,4)</f>
        <v>0.1515</v>
      </c>
      <c r="J2" s="91"/>
      <c r="K2" s="85">
        <f t="shared" ref="K2:K7" si="2">I2*J2</f>
        <v>0</v>
      </c>
      <c r="L2" s="85" t="e">
        <f>K2/K8</f>
        <v>#DIV/0!</v>
      </c>
      <c r="M2" s="85" t="e">
        <f t="shared" ref="M2:M7" si="3">F2/C2</f>
        <v>#DIV/0!</v>
      </c>
      <c r="N2" s="85" t="s">
        <v>17</v>
      </c>
      <c r="O2" s="85" t="s">
        <v>18</v>
      </c>
      <c r="P2" s="91"/>
      <c r="Q2" s="85">
        <f t="shared" ref="Q2:Q7" si="4">I2*J2</f>
        <v>0</v>
      </c>
      <c r="R2" s="78"/>
      <c r="S2" s="78"/>
    </row>
    <row r="3" spans="1:19" ht="30" customHeight="1" x14ac:dyDescent="0.2">
      <c r="A3" s="85" t="s">
        <v>15</v>
      </c>
      <c r="B3" s="85" t="s">
        <v>19</v>
      </c>
      <c r="C3" s="91"/>
      <c r="D3" s="92"/>
      <c r="E3" s="87" t="e">
        <f>IF(ABS(D3-D8)&lt;=100,"正常",IF(D3&gt;D8,"偏大"&amp;INT(D3-D8)&amp;"bp","偏小"&amp;INT(D8-D3)&amp;"bp"))</f>
        <v>#NUM!</v>
      </c>
      <c r="F3" s="87" t="e">
        <f t="shared" si="0"/>
        <v>#DIV/0!</v>
      </c>
      <c r="G3" s="85" t="e">
        <f t="shared" si="1"/>
        <v>#DIV/0!</v>
      </c>
      <c r="H3" s="85">
        <v>560</v>
      </c>
      <c r="I3" s="87">
        <f>ROUND(H3/H8,4)</f>
        <v>0.14879999999999999</v>
      </c>
      <c r="J3" s="91"/>
      <c r="K3" s="85">
        <f t="shared" si="2"/>
        <v>0</v>
      </c>
      <c r="L3" s="85" t="e">
        <f>K3/K8</f>
        <v>#DIV/0!</v>
      </c>
      <c r="M3" s="85" t="e">
        <f t="shared" si="3"/>
        <v>#DIV/0!</v>
      </c>
      <c r="N3" s="85" t="s">
        <v>17</v>
      </c>
      <c r="O3" s="85" t="s">
        <v>18</v>
      </c>
      <c r="P3" s="91"/>
      <c r="Q3" s="85">
        <f t="shared" si="4"/>
        <v>0</v>
      </c>
      <c r="R3" s="78"/>
      <c r="S3" s="78"/>
    </row>
    <row r="4" spans="1:19" ht="30" customHeight="1" x14ac:dyDescent="0.2">
      <c r="A4" s="85" t="s">
        <v>15</v>
      </c>
      <c r="B4" s="85" t="s">
        <v>20</v>
      </c>
      <c r="C4" s="91"/>
      <c r="D4" s="92"/>
      <c r="E4" s="87" t="e">
        <f>IF(ABS(D4-D8)&lt;=100,"正常",IF(D4&gt;D8,"偏大"&amp;INT(D4-D8)&amp;"bp","偏小"&amp;INT(D8-D4)&amp;"bp"))</f>
        <v>#NUM!</v>
      </c>
      <c r="F4" s="87" t="e">
        <f t="shared" si="0"/>
        <v>#DIV/0!</v>
      </c>
      <c r="G4" s="85" t="e">
        <f t="shared" si="1"/>
        <v>#DIV/0!</v>
      </c>
      <c r="H4" s="85">
        <v>570</v>
      </c>
      <c r="I4" s="87">
        <f>ROUND(H4/H8,4)</f>
        <v>0.1515</v>
      </c>
      <c r="J4" s="91"/>
      <c r="K4" s="85">
        <f t="shared" si="2"/>
        <v>0</v>
      </c>
      <c r="L4" s="85" t="e">
        <f>K4/K8</f>
        <v>#DIV/0!</v>
      </c>
      <c r="M4" s="85" t="e">
        <f t="shared" si="3"/>
        <v>#DIV/0!</v>
      </c>
      <c r="N4" s="85" t="s">
        <v>17</v>
      </c>
      <c r="O4" s="85" t="s">
        <v>18</v>
      </c>
      <c r="P4" s="91"/>
      <c r="Q4" s="85">
        <f t="shared" si="4"/>
        <v>0</v>
      </c>
      <c r="R4" s="78"/>
      <c r="S4" s="78"/>
    </row>
    <row r="5" spans="1:19" ht="30" customHeight="1" x14ac:dyDescent="0.2">
      <c r="A5" s="85" t="s">
        <v>15</v>
      </c>
      <c r="B5" s="85" t="s">
        <v>21</v>
      </c>
      <c r="C5" s="91"/>
      <c r="D5" s="92"/>
      <c r="E5" s="87" t="e">
        <f>IF(ABS(D5-D8)&lt;=100,"正常",IF(D5&gt;D8,"偏大"&amp;INT(D5-D8)&amp;"bp","偏小"&amp;INT(D8-D5)&amp;"bp"))</f>
        <v>#NUM!</v>
      </c>
      <c r="F5" s="87" t="e">
        <f t="shared" si="0"/>
        <v>#DIV/0!</v>
      </c>
      <c r="G5" s="85" t="e">
        <f t="shared" si="1"/>
        <v>#DIV/0!</v>
      </c>
      <c r="H5" s="85">
        <v>570</v>
      </c>
      <c r="I5" s="87">
        <f>ROUND(H5/H8,4)</f>
        <v>0.1515</v>
      </c>
      <c r="J5" s="91"/>
      <c r="K5" s="85">
        <f t="shared" si="2"/>
        <v>0</v>
      </c>
      <c r="L5" s="85" t="e">
        <f>K5/K8</f>
        <v>#DIV/0!</v>
      </c>
      <c r="M5" s="85" t="e">
        <f t="shared" si="3"/>
        <v>#DIV/0!</v>
      </c>
      <c r="N5" s="85" t="s">
        <v>17</v>
      </c>
      <c r="O5" s="85" t="s">
        <v>18</v>
      </c>
      <c r="P5" s="91"/>
      <c r="Q5" s="85">
        <f t="shared" si="4"/>
        <v>0</v>
      </c>
      <c r="R5" s="78"/>
      <c r="S5" s="78"/>
    </row>
    <row r="6" spans="1:19" ht="30" customHeight="1" x14ac:dyDescent="0.2">
      <c r="A6" s="85" t="s">
        <v>15</v>
      </c>
      <c r="B6" s="85" t="s">
        <v>22</v>
      </c>
      <c r="C6" s="91"/>
      <c r="D6" s="92"/>
      <c r="E6" s="87" t="e">
        <f>IF(ABS(D6-D8)&lt;=100,"正常",IF(D6&gt;D8,"偏大"&amp;INT(D6-D8)&amp;"bp","偏小"&amp;INT(D8-D6)&amp;"bp"))</f>
        <v>#NUM!</v>
      </c>
      <c r="F6" s="87" t="e">
        <f t="shared" si="0"/>
        <v>#DIV/0!</v>
      </c>
      <c r="G6" s="85" t="e">
        <f t="shared" si="1"/>
        <v>#DIV/0!</v>
      </c>
      <c r="H6" s="85">
        <v>570</v>
      </c>
      <c r="I6" s="87">
        <f>ROUND(H6/H8,4)</f>
        <v>0.1515</v>
      </c>
      <c r="J6" s="91"/>
      <c r="K6" s="85">
        <f t="shared" si="2"/>
        <v>0</v>
      </c>
      <c r="L6" s="85" t="e">
        <f>K6/K8</f>
        <v>#DIV/0!</v>
      </c>
      <c r="M6" s="85" t="e">
        <f t="shared" si="3"/>
        <v>#DIV/0!</v>
      </c>
      <c r="N6" s="85" t="s">
        <v>17</v>
      </c>
      <c r="O6" s="85" t="s">
        <v>18</v>
      </c>
      <c r="P6" s="91"/>
      <c r="Q6" s="85">
        <f t="shared" si="4"/>
        <v>0</v>
      </c>
      <c r="R6" s="78"/>
      <c r="S6" s="78"/>
    </row>
    <row r="7" spans="1:19" ht="30" customHeight="1" x14ac:dyDescent="0.2">
      <c r="A7" s="85" t="s">
        <v>15</v>
      </c>
      <c r="B7" s="85" t="s">
        <v>23</v>
      </c>
      <c r="C7" s="91"/>
      <c r="D7" s="92"/>
      <c r="E7" s="87" t="e">
        <f>IF(ABS(D7-D8)&lt;=100,"正常",IF(D7&gt;D8,"偏大"&amp;INT(D7-D8)&amp;"bp","偏小"&amp;INT(D8-D7)&amp;"bp"))</f>
        <v>#NUM!</v>
      </c>
      <c r="F7" s="87" t="e">
        <f t="shared" si="0"/>
        <v>#DIV/0!</v>
      </c>
      <c r="G7" s="85" t="e">
        <f t="shared" si="1"/>
        <v>#DIV/0!</v>
      </c>
      <c r="H7" s="85">
        <v>923</v>
      </c>
      <c r="I7" s="87">
        <f>ROUND(H7/H8,4)</f>
        <v>0.24529999999999999</v>
      </c>
      <c r="J7" s="91"/>
      <c r="K7" s="85">
        <f t="shared" si="2"/>
        <v>0</v>
      </c>
      <c r="L7" s="85" t="e">
        <f>K7/K8</f>
        <v>#DIV/0!</v>
      </c>
      <c r="M7" s="85" t="e">
        <f t="shared" si="3"/>
        <v>#DIV/0!</v>
      </c>
      <c r="N7" s="85" t="s">
        <v>17</v>
      </c>
      <c r="O7" s="85" t="s">
        <v>18</v>
      </c>
      <c r="P7" s="91"/>
      <c r="Q7" s="85">
        <f t="shared" si="4"/>
        <v>0</v>
      </c>
      <c r="R7" s="78"/>
      <c r="S7" s="78"/>
    </row>
    <row r="8" spans="1:19" ht="30" customHeight="1" x14ac:dyDescent="0.2">
      <c r="A8" s="78"/>
      <c r="B8" s="78"/>
      <c r="C8" s="78"/>
      <c r="D8" s="81" t="e">
        <f>MEDIAN(D2:D7)</f>
        <v>#NUM!</v>
      </c>
      <c r="E8" s="84"/>
      <c r="F8" s="84"/>
      <c r="G8" s="78"/>
      <c r="H8" s="77">
        <f>SUM(H2:H7)</f>
        <v>3763</v>
      </c>
      <c r="I8" s="84"/>
      <c r="J8" s="78"/>
      <c r="K8" s="77">
        <f>SUM(K2:K7)</f>
        <v>0</v>
      </c>
      <c r="L8" s="78"/>
      <c r="M8" s="77" t="e">
        <f>SUM(M2:M7)</f>
        <v>#DIV/0!</v>
      </c>
      <c r="N8" s="78"/>
      <c r="O8" s="78"/>
      <c r="P8" s="77" t="e">
        <f>96-M8</f>
        <v>#DIV/0!</v>
      </c>
      <c r="Q8" s="78"/>
      <c r="R8" s="78"/>
      <c r="S8" s="78"/>
    </row>
    <row r="9" spans="1:19" ht="30" customHeight="1" x14ac:dyDescent="0.2">
      <c r="A9" s="85" t="s">
        <v>24</v>
      </c>
      <c r="B9" s="85" t="s">
        <v>25</v>
      </c>
      <c r="C9" s="91"/>
      <c r="D9" s="92"/>
      <c r="E9" s="87" t="e">
        <f>IF(ABS(D9-D38)&lt;=100,"正常",IF(D9&gt;D38,"偏大"&amp;INT(D9-D38)&amp;"bp","偏小"&amp;INT(D38-D9)&amp;"bp"))</f>
        <v>#NUM!</v>
      </c>
      <c r="F9" s="87" t="e">
        <f t="shared" ref="F9:F37" si="5">D9*0.33*G9*0.001</f>
        <v>#DIV/0!</v>
      </c>
      <c r="G9" s="85" t="e">
        <f t="shared" ref="G9:G37" si="6">900*L9</f>
        <v>#DIV/0!</v>
      </c>
      <c r="H9" s="85">
        <v>11.21</v>
      </c>
      <c r="I9" s="87">
        <f>ROUND(H9/H38,4)</f>
        <v>3.0999999999999999E-3</v>
      </c>
      <c r="J9" s="91"/>
      <c r="K9" s="85">
        <f t="shared" ref="K9:K37" si="7">I9*J9</f>
        <v>0</v>
      </c>
      <c r="L9" s="85" t="e">
        <f>K9/K38</f>
        <v>#DIV/0!</v>
      </c>
      <c r="M9" s="85" t="e">
        <f t="shared" ref="M9:M37" si="8">F9/C9</f>
        <v>#DIV/0!</v>
      </c>
      <c r="N9" s="85" t="s">
        <v>26</v>
      </c>
      <c r="O9" s="85" t="s">
        <v>27</v>
      </c>
      <c r="P9" s="91"/>
      <c r="Q9" s="85">
        <f t="shared" ref="Q9:Q37" si="9">I9*J9</f>
        <v>0</v>
      </c>
      <c r="R9" s="78"/>
      <c r="S9" s="78"/>
    </row>
    <row r="10" spans="1:19" ht="30" customHeight="1" x14ac:dyDescent="0.2">
      <c r="A10" s="85" t="s">
        <v>24</v>
      </c>
      <c r="B10" s="85" t="s">
        <v>28</v>
      </c>
      <c r="C10" s="91"/>
      <c r="D10" s="92"/>
      <c r="E10" s="87" t="e">
        <f>IF(ABS(D10-D38)&lt;=100,"正常",IF(D10&gt;D38,"偏大"&amp;INT(D10-D38)&amp;"bp","偏小"&amp;INT(D38-D10)&amp;"bp"))</f>
        <v>#NUM!</v>
      </c>
      <c r="F10" s="87" t="e">
        <f t="shared" si="5"/>
        <v>#DIV/0!</v>
      </c>
      <c r="G10" s="85" t="e">
        <f t="shared" si="6"/>
        <v>#DIV/0!</v>
      </c>
      <c r="H10" s="85">
        <v>0.1</v>
      </c>
      <c r="I10" s="87">
        <f>ROUND(H10/H38,4)</f>
        <v>0</v>
      </c>
      <c r="J10" s="91"/>
      <c r="K10" s="85">
        <f t="shared" si="7"/>
        <v>0</v>
      </c>
      <c r="L10" s="85" t="e">
        <f>K10/K38</f>
        <v>#DIV/0!</v>
      </c>
      <c r="M10" s="85" t="e">
        <f t="shared" si="8"/>
        <v>#DIV/0!</v>
      </c>
      <c r="N10" s="85" t="s">
        <v>29</v>
      </c>
      <c r="O10" s="85" t="s">
        <v>27</v>
      </c>
      <c r="P10" s="91"/>
      <c r="Q10" s="85">
        <f t="shared" si="9"/>
        <v>0</v>
      </c>
      <c r="R10" s="78"/>
      <c r="S10" s="78"/>
    </row>
    <row r="11" spans="1:19" ht="30" customHeight="1" x14ac:dyDescent="0.2">
      <c r="A11" s="85" t="s">
        <v>24</v>
      </c>
      <c r="B11" s="85" t="s">
        <v>30</v>
      </c>
      <c r="C11" s="91"/>
      <c r="D11" s="92"/>
      <c r="E11" s="87" t="e">
        <f>IF(ABS(D11-D38)&lt;=100,"正常",IF(D11&gt;D38,"偏大"&amp;INT(D11-D38)&amp;"bp","偏小"&amp;INT(D38-D11)&amp;"bp"))</f>
        <v>#NUM!</v>
      </c>
      <c r="F11" s="87" t="e">
        <f t="shared" si="5"/>
        <v>#DIV/0!</v>
      </c>
      <c r="G11" s="85" t="e">
        <f t="shared" si="6"/>
        <v>#DIV/0!</v>
      </c>
      <c r="H11" s="85">
        <v>0.37</v>
      </c>
      <c r="I11" s="87">
        <f>ROUND(H11/H38,4)</f>
        <v>1E-4</v>
      </c>
      <c r="J11" s="91"/>
      <c r="K11" s="85">
        <f t="shared" si="7"/>
        <v>0</v>
      </c>
      <c r="L11" s="85" t="e">
        <f>K11/K38</f>
        <v>#DIV/0!</v>
      </c>
      <c r="M11" s="85" t="e">
        <f t="shared" si="8"/>
        <v>#DIV/0!</v>
      </c>
      <c r="N11" s="85" t="s">
        <v>31</v>
      </c>
      <c r="O11" s="85" t="s">
        <v>27</v>
      </c>
      <c r="P11" s="91"/>
      <c r="Q11" s="85">
        <f t="shared" si="9"/>
        <v>0</v>
      </c>
      <c r="R11" s="78"/>
      <c r="S11" s="78"/>
    </row>
    <row r="12" spans="1:19" ht="30" customHeight="1" x14ac:dyDescent="0.2">
      <c r="A12" s="85" t="s">
        <v>24</v>
      </c>
      <c r="B12" s="85" t="s">
        <v>32</v>
      </c>
      <c r="C12" s="91"/>
      <c r="D12" s="92"/>
      <c r="E12" s="87" t="e">
        <f>IF(ABS(D12-D38)&lt;=100,"正常",IF(D12&gt;D38,"偏大"&amp;INT(D12-D38)&amp;"bp","偏小"&amp;INT(D38-D12)&amp;"bp"))</f>
        <v>#NUM!</v>
      </c>
      <c r="F12" s="87" t="e">
        <f t="shared" si="5"/>
        <v>#DIV/0!</v>
      </c>
      <c r="G12" s="85" t="e">
        <f t="shared" si="6"/>
        <v>#DIV/0!</v>
      </c>
      <c r="H12" s="85">
        <v>0.73</v>
      </c>
      <c r="I12" s="87">
        <f>ROUND(H12/H38,4)</f>
        <v>2.0000000000000001E-4</v>
      </c>
      <c r="J12" s="91"/>
      <c r="K12" s="85">
        <f t="shared" si="7"/>
        <v>0</v>
      </c>
      <c r="L12" s="85" t="e">
        <f>K12/K38</f>
        <v>#DIV/0!</v>
      </c>
      <c r="M12" s="85" t="e">
        <f t="shared" si="8"/>
        <v>#DIV/0!</v>
      </c>
      <c r="N12" s="85" t="s">
        <v>31</v>
      </c>
      <c r="O12" s="85" t="s">
        <v>27</v>
      </c>
      <c r="P12" s="91"/>
      <c r="Q12" s="85">
        <f t="shared" si="9"/>
        <v>0</v>
      </c>
      <c r="R12" s="78"/>
      <c r="S12" s="78"/>
    </row>
    <row r="13" spans="1:19" ht="30" customHeight="1" x14ac:dyDescent="0.2">
      <c r="A13" s="85" t="s">
        <v>24</v>
      </c>
      <c r="B13" s="85" t="s">
        <v>33</v>
      </c>
      <c r="C13" s="91"/>
      <c r="D13" s="92"/>
      <c r="E13" s="87" t="e">
        <f>IF(ABS(D13-D38)&lt;=100,"正常",IF(D13&gt;D38,"偏大"&amp;INT(D13-D38)&amp;"bp","偏小"&amp;INT(D38-D13)&amp;"bp"))</f>
        <v>#NUM!</v>
      </c>
      <c r="F13" s="87" t="e">
        <f t="shared" si="5"/>
        <v>#DIV/0!</v>
      </c>
      <c r="G13" s="85" t="e">
        <f t="shared" si="6"/>
        <v>#DIV/0!</v>
      </c>
      <c r="H13" s="85">
        <v>720</v>
      </c>
      <c r="I13" s="87">
        <f>ROUND(H13/H38,4)</f>
        <v>0.1981</v>
      </c>
      <c r="J13" s="91"/>
      <c r="K13" s="85">
        <f t="shared" si="7"/>
        <v>0</v>
      </c>
      <c r="L13" s="85" t="e">
        <f>K13/K38</f>
        <v>#DIV/0!</v>
      </c>
      <c r="M13" s="85" t="e">
        <f t="shared" si="8"/>
        <v>#DIV/0!</v>
      </c>
      <c r="N13" s="85" t="s">
        <v>34</v>
      </c>
      <c r="O13" s="85" t="s">
        <v>35</v>
      </c>
      <c r="P13" s="91"/>
      <c r="Q13" s="85">
        <f t="shared" si="9"/>
        <v>0</v>
      </c>
      <c r="R13" s="78"/>
      <c r="S13" s="78"/>
    </row>
    <row r="14" spans="1:19" ht="30" customHeight="1" x14ac:dyDescent="0.2">
      <c r="A14" s="85" t="s">
        <v>24</v>
      </c>
      <c r="B14" s="85" t="s">
        <v>36</v>
      </c>
      <c r="C14" s="91"/>
      <c r="D14" s="92"/>
      <c r="E14" s="87" t="e">
        <f>IF(ABS(D14-D38)&lt;=100,"正常",IF(D14&gt;D38,"偏大"&amp;INT(D14-D38)&amp;"bp","偏小"&amp;INT(D38-D14)&amp;"bp"))</f>
        <v>#NUM!</v>
      </c>
      <c r="F14" s="87" t="e">
        <f t="shared" si="5"/>
        <v>#DIV/0!</v>
      </c>
      <c r="G14" s="85" t="e">
        <f t="shared" si="6"/>
        <v>#DIV/0!</v>
      </c>
      <c r="H14" s="85">
        <v>12</v>
      </c>
      <c r="I14" s="87">
        <f>ROUND(H14/H38,4)</f>
        <v>3.3E-3</v>
      </c>
      <c r="J14" s="91"/>
      <c r="K14" s="85">
        <f t="shared" si="7"/>
        <v>0</v>
      </c>
      <c r="L14" s="85" t="e">
        <f>K14/K38</f>
        <v>#DIV/0!</v>
      </c>
      <c r="M14" s="85" t="e">
        <f t="shared" si="8"/>
        <v>#DIV/0!</v>
      </c>
      <c r="N14" s="85" t="s">
        <v>37</v>
      </c>
      <c r="O14" s="85" t="s">
        <v>35</v>
      </c>
      <c r="P14" s="91"/>
      <c r="Q14" s="85">
        <f t="shared" si="9"/>
        <v>0</v>
      </c>
      <c r="R14" s="78"/>
      <c r="S14" s="78"/>
    </row>
    <row r="15" spans="1:19" ht="30" customHeight="1" x14ac:dyDescent="0.2">
      <c r="A15" s="85" t="s">
        <v>24</v>
      </c>
      <c r="B15" s="85" t="s">
        <v>38</v>
      </c>
      <c r="C15" s="91"/>
      <c r="D15" s="92"/>
      <c r="E15" s="87" t="e">
        <f>IF(ABS(D15-D38)&lt;=100,"正常",IF(D15&gt;D38,"偏大"&amp;INT(D15-D38)&amp;"bp","偏小"&amp;INT(D38-D15)&amp;"bp"))</f>
        <v>#NUM!</v>
      </c>
      <c r="F15" s="87" t="e">
        <f t="shared" si="5"/>
        <v>#DIV/0!</v>
      </c>
      <c r="G15" s="85" t="e">
        <f t="shared" si="6"/>
        <v>#DIV/0!</v>
      </c>
      <c r="H15" s="85">
        <v>12</v>
      </c>
      <c r="I15" s="87">
        <f>ROUND(H15/H38,4)</f>
        <v>3.3E-3</v>
      </c>
      <c r="J15" s="91"/>
      <c r="K15" s="85">
        <f t="shared" si="7"/>
        <v>0</v>
      </c>
      <c r="L15" s="85" t="e">
        <f>K15/K38</f>
        <v>#DIV/0!</v>
      </c>
      <c r="M15" s="85" t="e">
        <f t="shared" si="8"/>
        <v>#DIV/0!</v>
      </c>
      <c r="N15" s="85" t="s">
        <v>39</v>
      </c>
      <c r="O15" s="85" t="s">
        <v>35</v>
      </c>
      <c r="P15" s="91"/>
      <c r="Q15" s="85">
        <f t="shared" si="9"/>
        <v>0</v>
      </c>
      <c r="R15" s="78"/>
      <c r="S15" s="78"/>
    </row>
    <row r="16" spans="1:19" ht="30" customHeight="1" x14ac:dyDescent="0.2">
      <c r="A16" s="85" t="s">
        <v>24</v>
      </c>
      <c r="B16" s="85" t="s">
        <v>40</v>
      </c>
      <c r="C16" s="91"/>
      <c r="D16" s="92"/>
      <c r="E16" s="87" t="e">
        <f>IF(ABS(D16-D38)&lt;=100,"正常",IF(D16&gt;D38,"偏大"&amp;INT(D16-D38)&amp;"bp","偏小"&amp;INT(D38-D16)&amp;"bp"))</f>
        <v>#NUM!</v>
      </c>
      <c r="F16" s="87" t="e">
        <f t="shared" si="5"/>
        <v>#DIV/0!</v>
      </c>
      <c r="G16" s="85" t="e">
        <f t="shared" si="6"/>
        <v>#DIV/0!</v>
      </c>
      <c r="H16" s="85">
        <v>12</v>
      </c>
      <c r="I16" s="87">
        <f>ROUND(H16/H38,4)</f>
        <v>3.3E-3</v>
      </c>
      <c r="J16" s="91"/>
      <c r="K16" s="85">
        <f t="shared" si="7"/>
        <v>0</v>
      </c>
      <c r="L16" s="85" t="e">
        <f>K16/K38</f>
        <v>#DIV/0!</v>
      </c>
      <c r="M16" s="85" t="e">
        <f t="shared" si="8"/>
        <v>#DIV/0!</v>
      </c>
      <c r="N16" s="85" t="s">
        <v>17</v>
      </c>
      <c r="O16" s="85" t="s">
        <v>18</v>
      </c>
      <c r="P16" s="91"/>
      <c r="Q16" s="85">
        <f t="shared" si="9"/>
        <v>0</v>
      </c>
      <c r="R16" s="78"/>
      <c r="S16" s="78"/>
    </row>
    <row r="17" spans="1:19" ht="30" customHeight="1" x14ac:dyDescent="0.2">
      <c r="A17" s="85" t="s">
        <v>24</v>
      </c>
      <c r="B17" s="85" t="s">
        <v>41</v>
      </c>
      <c r="C17" s="91"/>
      <c r="D17" s="92"/>
      <c r="E17" s="87" t="e">
        <f>IF(ABS(D17-D38)&lt;=100,"正常",IF(D17&gt;D38,"偏大"&amp;INT(D17-D38)&amp;"bp","偏小"&amp;INT(D38-D17)&amp;"bp"))</f>
        <v>#NUM!</v>
      </c>
      <c r="F17" s="87" t="e">
        <f t="shared" si="5"/>
        <v>#DIV/0!</v>
      </c>
      <c r="G17" s="85" t="e">
        <f t="shared" si="6"/>
        <v>#DIV/0!</v>
      </c>
      <c r="H17" s="85">
        <v>35</v>
      </c>
      <c r="I17" s="87">
        <f>ROUND(H17/H38,4)</f>
        <v>9.5999999999999992E-3</v>
      </c>
      <c r="J17" s="91"/>
      <c r="K17" s="85">
        <f t="shared" si="7"/>
        <v>0</v>
      </c>
      <c r="L17" s="85" t="e">
        <f>K17/K38</f>
        <v>#DIV/0!</v>
      </c>
      <c r="M17" s="85" t="e">
        <f t="shared" si="8"/>
        <v>#DIV/0!</v>
      </c>
      <c r="N17" s="85" t="s">
        <v>17</v>
      </c>
      <c r="O17" s="85" t="s">
        <v>18</v>
      </c>
      <c r="P17" s="91"/>
      <c r="Q17" s="85">
        <f t="shared" si="9"/>
        <v>0</v>
      </c>
      <c r="R17" s="78"/>
      <c r="S17" s="78"/>
    </row>
    <row r="18" spans="1:19" ht="30" customHeight="1" x14ac:dyDescent="0.2">
      <c r="A18" s="85" t="s">
        <v>24</v>
      </c>
      <c r="B18" s="85" t="s">
        <v>42</v>
      </c>
      <c r="C18" s="91"/>
      <c r="D18" s="92"/>
      <c r="E18" s="87" t="e">
        <f>IF(ABS(D18-D38)&lt;=100,"正常",IF(D18&gt;D38,"偏大"&amp;INT(D18-D38)&amp;"bp","偏小"&amp;INT(D38-D18)&amp;"bp"))</f>
        <v>#NUM!</v>
      </c>
      <c r="F18" s="87" t="e">
        <f t="shared" si="5"/>
        <v>#DIV/0!</v>
      </c>
      <c r="G18" s="85" t="e">
        <f t="shared" si="6"/>
        <v>#DIV/0!</v>
      </c>
      <c r="H18" s="85">
        <v>7</v>
      </c>
      <c r="I18" s="87">
        <f>ROUND(H18/H38,4)</f>
        <v>1.9E-3</v>
      </c>
      <c r="J18" s="91"/>
      <c r="K18" s="85">
        <f t="shared" si="7"/>
        <v>0</v>
      </c>
      <c r="L18" s="85" t="e">
        <f>K18/K38</f>
        <v>#DIV/0!</v>
      </c>
      <c r="M18" s="85" t="e">
        <f t="shared" si="8"/>
        <v>#DIV/0!</v>
      </c>
      <c r="N18" s="85" t="s">
        <v>17</v>
      </c>
      <c r="O18" s="85" t="s">
        <v>18</v>
      </c>
      <c r="P18" s="91"/>
      <c r="Q18" s="85">
        <f t="shared" si="9"/>
        <v>0</v>
      </c>
      <c r="R18" s="78"/>
      <c r="S18" s="78"/>
    </row>
    <row r="19" spans="1:19" ht="30" customHeight="1" x14ac:dyDescent="0.2">
      <c r="A19" s="85" t="s">
        <v>24</v>
      </c>
      <c r="B19" s="85" t="s">
        <v>43</v>
      </c>
      <c r="C19" s="91"/>
      <c r="D19" s="92"/>
      <c r="E19" s="87" t="e">
        <f>IF(ABS(D19-D38)&lt;=100,"正常",IF(D19&gt;D38,"偏大"&amp;INT(D19-D38)&amp;"bp","偏小"&amp;INT(D38-D19)&amp;"bp"))</f>
        <v>#NUM!</v>
      </c>
      <c r="F19" s="87" t="e">
        <f t="shared" si="5"/>
        <v>#DIV/0!</v>
      </c>
      <c r="G19" s="85" t="e">
        <f t="shared" si="6"/>
        <v>#DIV/0!</v>
      </c>
      <c r="H19" s="85">
        <v>4</v>
      </c>
      <c r="I19" s="87">
        <f>ROUND(H19/H38,4)</f>
        <v>1.1000000000000001E-3</v>
      </c>
      <c r="J19" s="91"/>
      <c r="K19" s="85">
        <f t="shared" si="7"/>
        <v>0</v>
      </c>
      <c r="L19" s="85" t="e">
        <f>K19/K38</f>
        <v>#DIV/0!</v>
      </c>
      <c r="M19" s="85" t="e">
        <f t="shared" si="8"/>
        <v>#DIV/0!</v>
      </c>
      <c r="N19" s="85" t="s">
        <v>44</v>
      </c>
      <c r="O19" s="85" t="s">
        <v>18</v>
      </c>
      <c r="P19" s="91"/>
      <c r="Q19" s="85">
        <f t="shared" si="9"/>
        <v>0</v>
      </c>
      <c r="R19" s="78"/>
      <c r="S19" s="78"/>
    </row>
    <row r="20" spans="1:19" ht="30" customHeight="1" x14ac:dyDescent="0.2">
      <c r="A20" s="85" t="s">
        <v>24</v>
      </c>
      <c r="B20" s="85" t="s">
        <v>45</v>
      </c>
      <c r="C20" s="91"/>
      <c r="D20" s="92"/>
      <c r="E20" s="87" t="e">
        <f>IF(ABS(D20-D38)&lt;=100,"正常",IF(D20&gt;D38,"偏大"&amp;INT(D20-D38)&amp;"bp","偏小"&amp;INT(D38-D20)&amp;"bp"))</f>
        <v>#NUM!</v>
      </c>
      <c r="F20" s="87" t="e">
        <f t="shared" si="5"/>
        <v>#DIV/0!</v>
      </c>
      <c r="G20" s="85" t="e">
        <f t="shared" si="6"/>
        <v>#DIV/0!</v>
      </c>
      <c r="H20" s="85">
        <v>108</v>
      </c>
      <c r="I20" s="87">
        <f>ROUND(H20/H38,4)</f>
        <v>2.9700000000000001E-2</v>
      </c>
      <c r="J20" s="91"/>
      <c r="K20" s="85">
        <f t="shared" si="7"/>
        <v>0</v>
      </c>
      <c r="L20" s="85" t="e">
        <f>K20/K38</f>
        <v>#DIV/0!</v>
      </c>
      <c r="M20" s="85" t="e">
        <f t="shared" si="8"/>
        <v>#DIV/0!</v>
      </c>
      <c r="N20" s="85" t="s">
        <v>46</v>
      </c>
      <c r="O20" s="85" t="s">
        <v>47</v>
      </c>
      <c r="P20" s="91"/>
      <c r="Q20" s="85">
        <f t="shared" si="9"/>
        <v>0</v>
      </c>
      <c r="R20" s="78"/>
      <c r="S20" s="78"/>
    </row>
    <row r="21" spans="1:19" ht="30" customHeight="1" x14ac:dyDescent="0.2">
      <c r="A21" s="85" t="s">
        <v>24</v>
      </c>
      <c r="B21" s="85" t="s">
        <v>48</v>
      </c>
      <c r="C21" s="91"/>
      <c r="D21" s="92"/>
      <c r="E21" s="87" t="e">
        <f>IF(ABS(D21-D38)&lt;=100,"正常",IF(D21&gt;D38,"偏大"&amp;INT(D21-D38)&amp;"bp","偏小"&amp;INT(D38-D21)&amp;"bp"))</f>
        <v>#NUM!</v>
      </c>
      <c r="F21" s="87" t="e">
        <f t="shared" si="5"/>
        <v>#DIV/0!</v>
      </c>
      <c r="G21" s="85" t="e">
        <f t="shared" si="6"/>
        <v>#DIV/0!</v>
      </c>
      <c r="H21" s="85">
        <v>22.4</v>
      </c>
      <c r="I21" s="87">
        <f>ROUND(H21/H38,4)</f>
        <v>6.1999999999999998E-3</v>
      </c>
      <c r="J21" s="91"/>
      <c r="K21" s="85">
        <f t="shared" si="7"/>
        <v>0</v>
      </c>
      <c r="L21" s="85" t="e">
        <f>K21/K38</f>
        <v>#DIV/0!</v>
      </c>
      <c r="M21" s="85" t="e">
        <f t="shared" si="8"/>
        <v>#DIV/0!</v>
      </c>
      <c r="N21" s="85" t="s">
        <v>49</v>
      </c>
      <c r="O21" s="85" t="s">
        <v>50</v>
      </c>
      <c r="P21" s="91"/>
      <c r="Q21" s="85">
        <f t="shared" si="9"/>
        <v>0</v>
      </c>
      <c r="R21" s="78"/>
      <c r="S21" s="78"/>
    </row>
    <row r="22" spans="1:19" ht="30" customHeight="1" x14ac:dyDescent="0.2">
      <c r="A22" s="85" t="s">
        <v>24</v>
      </c>
      <c r="B22" s="85" t="s">
        <v>51</v>
      </c>
      <c r="C22" s="91"/>
      <c r="D22" s="92"/>
      <c r="E22" s="87" t="e">
        <f>IF(ABS(D22-D38)&lt;=100,"正常",IF(D22&gt;D38,"偏大"&amp;INT(D22-D38)&amp;"bp","偏小"&amp;INT(D38-D22)&amp;"bp"))</f>
        <v>#NUM!</v>
      </c>
      <c r="F22" s="87" t="e">
        <f t="shared" si="5"/>
        <v>#DIV/0!</v>
      </c>
      <c r="G22" s="85" t="e">
        <f t="shared" si="6"/>
        <v>#DIV/0!</v>
      </c>
      <c r="H22" s="85">
        <v>39.1</v>
      </c>
      <c r="I22" s="87">
        <f>ROUND(H22/H38,4)</f>
        <v>1.0800000000000001E-2</v>
      </c>
      <c r="J22" s="91"/>
      <c r="K22" s="85">
        <f t="shared" si="7"/>
        <v>0</v>
      </c>
      <c r="L22" s="85" t="e">
        <f>K22/K38</f>
        <v>#DIV/0!</v>
      </c>
      <c r="M22" s="85" t="e">
        <f t="shared" si="8"/>
        <v>#DIV/0!</v>
      </c>
      <c r="N22" s="85" t="s">
        <v>52</v>
      </c>
      <c r="O22" s="85" t="s">
        <v>50</v>
      </c>
      <c r="P22" s="91"/>
      <c r="Q22" s="85">
        <f t="shared" si="9"/>
        <v>0</v>
      </c>
      <c r="R22" s="78"/>
      <c r="S22" s="78"/>
    </row>
    <row r="23" spans="1:19" ht="30" customHeight="1" x14ac:dyDescent="0.2">
      <c r="A23" s="85" t="s">
        <v>24</v>
      </c>
      <c r="B23" s="85" t="s">
        <v>53</v>
      </c>
      <c r="C23" s="91"/>
      <c r="D23" s="92"/>
      <c r="E23" s="87" t="e">
        <f>IF(ABS(D23-D38)&lt;=100,"正常",IF(D23&gt;D38,"偏大"&amp;INT(D23-D38)&amp;"bp","偏小"&amp;INT(D38-D23)&amp;"bp"))</f>
        <v>#NUM!</v>
      </c>
      <c r="F23" s="87" t="e">
        <f t="shared" si="5"/>
        <v>#DIV/0!</v>
      </c>
      <c r="G23" s="85" t="e">
        <f t="shared" si="6"/>
        <v>#DIV/0!</v>
      </c>
      <c r="H23" s="85">
        <v>600</v>
      </c>
      <c r="I23" s="87">
        <f>ROUND(H23/H38,4)</f>
        <v>0.1651</v>
      </c>
      <c r="J23" s="91"/>
      <c r="K23" s="85">
        <f t="shared" si="7"/>
        <v>0</v>
      </c>
      <c r="L23" s="85" t="e">
        <f>K23/K38</f>
        <v>#DIV/0!</v>
      </c>
      <c r="M23" s="85" t="e">
        <f t="shared" si="8"/>
        <v>#DIV/0!</v>
      </c>
      <c r="N23" s="85" t="s">
        <v>52</v>
      </c>
      <c r="O23" s="85" t="s">
        <v>50</v>
      </c>
      <c r="P23" s="91"/>
      <c r="Q23" s="85">
        <f t="shared" si="9"/>
        <v>0</v>
      </c>
      <c r="R23" s="78"/>
      <c r="S23" s="78"/>
    </row>
    <row r="24" spans="1:19" ht="30" customHeight="1" x14ac:dyDescent="0.2">
      <c r="A24" s="85" t="s">
        <v>24</v>
      </c>
      <c r="B24" s="85" t="s">
        <v>54</v>
      </c>
      <c r="C24" s="91"/>
      <c r="D24" s="92"/>
      <c r="E24" s="87" t="e">
        <f>IF(ABS(D24-D38)&lt;=100,"正常",IF(D24&gt;D38,"偏大"&amp;INT(D24-D38)&amp;"bp","偏小"&amp;INT(D38-D24)&amp;"bp"))</f>
        <v>#NUM!</v>
      </c>
      <c r="F24" s="87" t="e">
        <f t="shared" si="5"/>
        <v>#DIV/0!</v>
      </c>
      <c r="G24" s="85" t="e">
        <f t="shared" si="6"/>
        <v>#DIV/0!</v>
      </c>
      <c r="H24" s="85">
        <v>17.989999999999998</v>
      </c>
      <c r="I24" s="87">
        <f>ROUND(H24/H38,4)</f>
        <v>4.8999999999999998E-3</v>
      </c>
      <c r="J24" s="91"/>
      <c r="K24" s="85">
        <f t="shared" si="7"/>
        <v>0</v>
      </c>
      <c r="L24" s="85" t="e">
        <f>K24/K38</f>
        <v>#DIV/0!</v>
      </c>
      <c r="M24" s="85" t="e">
        <f t="shared" si="8"/>
        <v>#DIV/0!</v>
      </c>
      <c r="N24" s="85" t="s">
        <v>55</v>
      </c>
      <c r="O24" s="85" t="s">
        <v>50</v>
      </c>
      <c r="P24" s="91"/>
      <c r="Q24" s="85">
        <f t="shared" si="9"/>
        <v>0</v>
      </c>
      <c r="R24" s="78"/>
      <c r="S24" s="78"/>
    </row>
    <row r="25" spans="1:19" ht="30" customHeight="1" x14ac:dyDescent="0.2">
      <c r="A25" s="85" t="s">
        <v>24</v>
      </c>
      <c r="B25" s="85" t="s">
        <v>56</v>
      </c>
      <c r="C25" s="91"/>
      <c r="D25" s="92"/>
      <c r="E25" s="87" t="e">
        <f>IF(ABS(D25-D38)&lt;=100,"正常",IF(D25&gt;D38,"偏大"&amp;INT(D25-D38)&amp;"bp","偏小"&amp;INT(D38-D25)&amp;"bp"))</f>
        <v>#NUM!</v>
      </c>
      <c r="F25" s="87" t="e">
        <f t="shared" si="5"/>
        <v>#DIV/0!</v>
      </c>
      <c r="G25" s="85" t="e">
        <f t="shared" si="6"/>
        <v>#DIV/0!</v>
      </c>
      <c r="H25" s="85">
        <v>100.96</v>
      </c>
      <c r="I25" s="87">
        <f>ROUND(H25/H38,4)</f>
        <v>2.7799999999999998E-2</v>
      </c>
      <c r="J25" s="91"/>
      <c r="K25" s="85">
        <f t="shared" si="7"/>
        <v>0</v>
      </c>
      <c r="L25" s="85" t="e">
        <f>K25/K38</f>
        <v>#DIV/0!</v>
      </c>
      <c r="M25" s="85" t="e">
        <f t="shared" si="8"/>
        <v>#DIV/0!</v>
      </c>
      <c r="N25" s="85" t="s">
        <v>57</v>
      </c>
      <c r="O25" s="85" t="s">
        <v>50</v>
      </c>
      <c r="P25" s="91"/>
      <c r="Q25" s="85">
        <f t="shared" si="9"/>
        <v>0</v>
      </c>
      <c r="R25" s="78"/>
      <c r="S25" s="78"/>
    </row>
    <row r="26" spans="1:19" ht="30" customHeight="1" x14ac:dyDescent="0.2">
      <c r="A26" s="85" t="s">
        <v>24</v>
      </c>
      <c r="B26" s="85" t="s">
        <v>58</v>
      </c>
      <c r="C26" s="91"/>
      <c r="D26" s="92"/>
      <c r="E26" s="87" t="e">
        <f>IF(ABS(D26-D38)&lt;=100,"正常",IF(D26&gt;D38,"偏大"&amp;INT(D26-D38)&amp;"bp","偏小"&amp;INT(D38-D26)&amp;"bp"))</f>
        <v>#NUM!</v>
      </c>
      <c r="F26" s="87" t="e">
        <f t="shared" si="5"/>
        <v>#DIV/0!</v>
      </c>
      <c r="G26" s="85" t="e">
        <f t="shared" si="6"/>
        <v>#DIV/0!</v>
      </c>
      <c r="H26" s="85">
        <v>55.75</v>
      </c>
      <c r="I26" s="87">
        <f>ROUND(H26/H38,4)</f>
        <v>1.5299999999999999E-2</v>
      </c>
      <c r="J26" s="91"/>
      <c r="K26" s="85">
        <f t="shared" si="7"/>
        <v>0</v>
      </c>
      <c r="L26" s="85" t="e">
        <f>K26/K38</f>
        <v>#DIV/0!</v>
      </c>
      <c r="M26" s="85" t="e">
        <f t="shared" si="8"/>
        <v>#DIV/0!</v>
      </c>
      <c r="N26" s="85" t="s">
        <v>57</v>
      </c>
      <c r="O26" s="85" t="s">
        <v>50</v>
      </c>
      <c r="P26" s="91"/>
      <c r="Q26" s="85">
        <f t="shared" si="9"/>
        <v>0</v>
      </c>
      <c r="R26" s="78"/>
      <c r="S26" s="78"/>
    </row>
    <row r="27" spans="1:19" ht="30" customHeight="1" x14ac:dyDescent="0.2">
      <c r="A27" s="85" t="s">
        <v>24</v>
      </c>
      <c r="B27" s="85" t="s">
        <v>59</v>
      </c>
      <c r="C27" s="91"/>
      <c r="D27" s="92"/>
      <c r="E27" s="87" t="e">
        <f>IF(ABS(D27-D38)&lt;=100,"正常",IF(D27&gt;D38,"偏大"&amp;INT(D27-D38)&amp;"bp","偏小"&amp;INT(D38-D27)&amp;"bp"))</f>
        <v>#NUM!</v>
      </c>
      <c r="F27" s="87" t="e">
        <f t="shared" si="5"/>
        <v>#DIV/0!</v>
      </c>
      <c r="G27" s="85" t="e">
        <f t="shared" si="6"/>
        <v>#DIV/0!</v>
      </c>
      <c r="H27" s="85">
        <v>600</v>
      </c>
      <c r="I27" s="87">
        <f>ROUND(H27/H38,4)</f>
        <v>0.1651</v>
      </c>
      <c r="J27" s="91"/>
      <c r="K27" s="85">
        <f t="shared" si="7"/>
        <v>0</v>
      </c>
      <c r="L27" s="85" t="e">
        <f>K27/K38</f>
        <v>#DIV/0!</v>
      </c>
      <c r="M27" s="85" t="e">
        <f t="shared" si="8"/>
        <v>#DIV/0!</v>
      </c>
      <c r="N27" s="85" t="s">
        <v>60</v>
      </c>
      <c r="O27" s="85" t="s">
        <v>61</v>
      </c>
      <c r="P27" s="91"/>
      <c r="Q27" s="85">
        <f t="shared" si="9"/>
        <v>0</v>
      </c>
      <c r="R27" s="78"/>
      <c r="S27" s="78"/>
    </row>
    <row r="28" spans="1:19" ht="30" customHeight="1" x14ac:dyDescent="0.2">
      <c r="A28" s="85" t="s">
        <v>24</v>
      </c>
      <c r="B28" s="85" t="s">
        <v>62</v>
      </c>
      <c r="C28" s="91"/>
      <c r="D28" s="92"/>
      <c r="E28" s="87" t="e">
        <f>IF(ABS(D28-D38)&lt;=100,"正常",IF(D28&gt;D38,"偏大"&amp;INT(D28-D38)&amp;"bp","偏小"&amp;INT(D38-D28)&amp;"bp"))</f>
        <v>#NUM!</v>
      </c>
      <c r="F28" s="87" t="e">
        <f t="shared" si="5"/>
        <v>#DIV/0!</v>
      </c>
      <c r="G28" s="85" t="e">
        <f t="shared" si="6"/>
        <v>#DIV/0!</v>
      </c>
      <c r="H28" s="85">
        <v>400</v>
      </c>
      <c r="I28" s="87">
        <f>ROUND(H28/H38,4)</f>
        <v>0.11</v>
      </c>
      <c r="J28" s="91"/>
      <c r="K28" s="85">
        <f t="shared" si="7"/>
        <v>0</v>
      </c>
      <c r="L28" s="85" t="e">
        <f>K28/K38</f>
        <v>#DIV/0!</v>
      </c>
      <c r="M28" s="85" t="e">
        <f t="shared" si="8"/>
        <v>#DIV/0!</v>
      </c>
      <c r="N28" s="85" t="s">
        <v>60</v>
      </c>
      <c r="O28" s="85" t="s">
        <v>61</v>
      </c>
      <c r="P28" s="91"/>
      <c r="Q28" s="85">
        <f t="shared" si="9"/>
        <v>0</v>
      </c>
      <c r="R28" s="78"/>
      <c r="S28" s="78"/>
    </row>
    <row r="29" spans="1:19" ht="30" customHeight="1" x14ac:dyDescent="0.2">
      <c r="A29" s="85" t="s">
        <v>24</v>
      </c>
      <c r="B29" s="85" t="s">
        <v>63</v>
      </c>
      <c r="C29" s="91"/>
      <c r="D29" s="92"/>
      <c r="E29" s="87" t="e">
        <f>IF(ABS(D29-D38)&lt;=100,"正常",IF(D29&gt;D38,"偏大"&amp;INT(D29-D38)&amp;"bp","偏小"&amp;INT(D38-D29)&amp;"bp"))</f>
        <v>#NUM!</v>
      </c>
      <c r="F29" s="87" t="e">
        <f t="shared" si="5"/>
        <v>#DIV/0!</v>
      </c>
      <c r="G29" s="85" t="e">
        <f t="shared" si="6"/>
        <v>#DIV/0!</v>
      </c>
      <c r="H29" s="85">
        <v>750</v>
      </c>
      <c r="I29" s="87">
        <f>ROUND(H29/H38,4)</f>
        <v>0.20630000000000001</v>
      </c>
      <c r="J29" s="91"/>
      <c r="K29" s="85">
        <f t="shared" si="7"/>
        <v>0</v>
      </c>
      <c r="L29" s="85" t="e">
        <f>K29/K38</f>
        <v>#DIV/0!</v>
      </c>
      <c r="M29" s="85" t="e">
        <f t="shared" si="8"/>
        <v>#DIV/0!</v>
      </c>
      <c r="N29" s="85" t="s">
        <v>60</v>
      </c>
      <c r="O29" s="85" t="s">
        <v>61</v>
      </c>
      <c r="P29" s="91"/>
      <c r="Q29" s="85">
        <f t="shared" si="9"/>
        <v>0</v>
      </c>
      <c r="R29" s="78"/>
      <c r="S29" s="78"/>
    </row>
    <row r="30" spans="1:19" ht="30" customHeight="1" x14ac:dyDescent="0.2">
      <c r="A30" s="85" t="s">
        <v>24</v>
      </c>
      <c r="B30" s="85" t="s">
        <v>64</v>
      </c>
      <c r="C30" s="91"/>
      <c r="D30" s="92"/>
      <c r="E30" s="87" t="e">
        <f>IF(ABS(D30-D38)&lt;=100,"正常",IF(D30&gt;D38,"偏大"&amp;INT(D30-D38)&amp;"bp","偏小"&amp;INT(D38-D30)&amp;"bp"))</f>
        <v>#NUM!</v>
      </c>
      <c r="F30" s="87" t="e">
        <f t="shared" si="5"/>
        <v>#DIV/0!</v>
      </c>
      <c r="G30" s="85" t="e">
        <f t="shared" si="6"/>
        <v>#DIV/0!</v>
      </c>
      <c r="H30" s="85">
        <v>60</v>
      </c>
      <c r="I30" s="87">
        <f>ROUND(H30/H38,4)</f>
        <v>1.6500000000000001E-2</v>
      </c>
      <c r="J30" s="91"/>
      <c r="K30" s="85">
        <f t="shared" si="7"/>
        <v>0</v>
      </c>
      <c r="L30" s="85" t="e">
        <f>K30/K38</f>
        <v>#DIV/0!</v>
      </c>
      <c r="M30" s="85" t="e">
        <f t="shared" si="8"/>
        <v>#DIV/0!</v>
      </c>
      <c r="N30" s="85" t="s">
        <v>34</v>
      </c>
      <c r="O30" s="85" t="s">
        <v>35</v>
      </c>
      <c r="P30" s="91"/>
      <c r="Q30" s="85">
        <f t="shared" si="9"/>
        <v>0</v>
      </c>
      <c r="R30" s="78"/>
      <c r="S30" s="78"/>
    </row>
    <row r="31" spans="1:19" ht="30" customHeight="1" x14ac:dyDescent="0.2">
      <c r="A31" s="85" t="s">
        <v>24</v>
      </c>
      <c r="B31" s="85" t="s">
        <v>65</v>
      </c>
      <c r="C31" s="91"/>
      <c r="D31" s="92"/>
      <c r="E31" s="87" t="e">
        <f>IF(ABS(D31-D38)&lt;=100,"正常",IF(D31&gt;D38,"偏大"&amp;INT(D31-D38)&amp;"bp","偏小"&amp;INT(D38-D31)&amp;"bp"))</f>
        <v>#NUM!</v>
      </c>
      <c r="F31" s="87" t="e">
        <f t="shared" si="5"/>
        <v>#DIV/0!</v>
      </c>
      <c r="G31" s="85" t="e">
        <f t="shared" si="6"/>
        <v>#DIV/0!</v>
      </c>
      <c r="H31" s="85">
        <v>0.01</v>
      </c>
      <c r="I31" s="87">
        <f>ROUND(H31/H38,4)</f>
        <v>0</v>
      </c>
      <c r="J31" s="91"/>
      <c r="K31" s="85">
        <f t="shared" si="7"/>
        <v>0</v>
      </c>
      <c r="L31" s="85" t="e">
        <f>K31/K38</f>
        <v>#DIV/0!</v>
      </c>
      <c r="M31" s="85" t="e">
        <f t="shared" si="8"/>
        <v>#DIV/0!</v>
      </c>
      <c r="N31" s="85" t="s">
        <v>66</v>
      </c>
      <c r="O31" s="85" t="s">
        <v>27</v>
      </c>
      <c r="P31" s="91"/>
      <c r="Q31" s="85">
        <f t="shared" si="9"/>
        <v>0</v>
      </c>
      <c r="R31" s="78"/>
      <c r="S31" s="78"/>
    </row>
    <row r="32" spans="1:19" ht="30" customHeight="1" x14ac:dyDescent="0.2">
      <c r="A32" s="85" t="s">
        <v>24</v>
      </c>
      <c r="B32" s="85" t="s">
        <v>67</v>
      </c>
      <c r="C32" s="91"/>
      <c r="D32" s="92"/>
      <c r="E32" s="87" t="e">
        <f>IF(ABS(D32-D38)&lt;=100,"正常",IF(D32&gt;D38,"偏大"&amp;INT(D32-D38)&amp;"bp","偏小"&amp;INT(D38-D32)&amp;"bp"))</f>
        <v>#NUM!</v>
      </c>
      <c r="F32" s="87" t="e">
        <f t="shared" si="5"/>
        <v>#DIV/0!</v>
      </c>
      <c r="G32" s="85" t="e">
        <f t="shared" si="6"/>
        <v>#DIV/0!</v>
      </c>
      <c r="H32" s="85">
        <v>0.71</v>
      </c>
      <c r="I32" s="87">
        <f>ROUND(H32/H38,4)</f>
        <v>2.0000000000000001E-4</v>
      </c>
      <c r="J32" s="91"/>
      <c r="K32" s="85">
        <f t="shared" si="7"/>
        <v>0</v>
      </c>
      <c r="L32" s="85" t="e">
        <f>K32/K38</f>
        <v>#DIV/0!</v>
      </c>
      <c r="M32" s="85" t="e">
        <f t="shared" si="8"/>
        <v>#DIV/0!</v>
      </c>
      <c r="N32" s="85" t="s">
        <v>66</v>
      </c>
      <c r="O32" s="85" t="s">
        <v>27</v>
      </c>
      <c r="P32" s="91"/>
      <c r="Q32" s="85">
        <f t="shared" si="9"/>
        <v>0</v>
      </c>
      <c r="R32" s="78"/>
      <c r="S32" s="78"/>
    </row>
    <row r="33" spans="1:19" ht="30" customHeight="1" x14ac:dyDescent="0.2">
      <c r="A33" s="85" t="s">
        <v>24</v>
      </c>
      <c r="B33" s="85" t="s">
        <v>68</v>
      </c>
      <c r="C33" s="91"/>
      <c r="D33" s="92"/>
      <c r="E33" s="87" t="e">
        <f>IF(ABS(D33-D38)&lt;=100,"正常",IF(D33&gt;D38,"偏大"&amp;INT(D33-D38)&amp;"bp","偏小"&amp;INT(D38-D33)&amp;"bp"))</f>
        <v>#NUM!</v>
      </c>
      <c r="F33" s="87" t="e">
        <f t="shared" si="5"/>
        <v>#DIV/0!</v>
      </c>
      <c r="G33" s="85" t="e">
        <f t="shared" si="6"/>
        <v>#DIV/0!</v>
      </c>
      <c r="H33" s="85">
        <v>4.25</v>
      </c>
      <c r="I33" s="87">
        <f>ROUND(H33/H38,4)</f>
        <v>1.1999999999999999E-3</v>
      </c>
      <c r="J33" s="91"/>
      <c r="K33" s="85">
        <f t="shared" si="7"/>
        <v>0</v>
      </c>
      <c r="L33" s="85" t="e">
        <f>K33/K38</f>
        <v>#DIV/0!</v>
      </c>
      <c r="M33" s="85" t="e">
        <f t="shared" si="8"/>
        <v>#DIV/0!</v>
      </c>
      <c r="N33" s="85" t="s">
        <v>69</v>
      </c>
      <c r="O33" s="85" t="s">
        <v>70</v>
      </c>
      <c r="P33" s="91"/>
      <c r="Q33" s="85">
        <f t="shared" si="9"/>
        <v>0</v>
      </c>
      <c r="R33" s="78"/>
      <c r="S33" s="78"/>
    </row>
    <row r="34" spans="1:19" ht="30" customHeight="1" x14ac:dyDescent="0.2">
      <c r="A34" s="85" t="s">
        <v>24</v>
      </c>
      <c r="B34" s="85" t="s">
        <v>71</v>
      </c>
      <c r="C34" s="91"/>
      <c r="D34" s="92"/>
      <c r="E34" s="87" t="e">
        <f>IF(ABS(D34-D38)&lt;=100,"正常",IF(D34&gt;D38,"偏大"&amp;INT(D34-D38)&amp;"bp","偏小"&amp;INT(D38-D34)&amp;"bp"))</f>
        <v>#NUM!</v>
      </c>
      <c r="F34" s="87" t="e">
        <f t="shared" si="5"/>
        <v>#DIV/0!</v>
      </c>
      <c r="G34" s="85" t="e">
        <f t="shared" si="6"/>
        <v>#DIV/0!</v>
      </c>
      <c r="H34" s="85">
        <v>2.1800000000000002</v>
      </c>
      <c r="I34" s="87">
        <f>ROUND(H34/H38,4)</f>
        <v>5.9999999999999995E-4</v>
      </c>
      <c r="J34" s="91"/>
      <c r="K34" s="85">
        <f t="shared" si="7"/>
        <v>0</v>
      </c>
      <c r="L34" s="85" t="e">
        <f>K34/K38</f>
        <v>#DIV/0!</v>
      </c>
      <c r="M34" s="85" t="e">
        <f t="shared" si="8"/>
        <v>#DIV/0!</v>
      </c>
      <c r="N34" s="85" t="s">
        <v>72</v>
      </c>
      <c r="O34" s="85" t="s">
        <v>73</v>
      </c>
      <c r="P34" s="91"/>
      <c r="Q34" s="85">
        <f t="shared" si="9"/>
        <v>0</v>
      </c>
      <c r="R34" s="78"/>
      <c r="S34" s="78"/>
    </row>
    <row r="35" spans="1:19" ht="30" customHeight="1" x14ac:dyDescent="0.2">
      <c r="A35" s="85" t="s">
        <v>24</v>
      </c>
      <c r="B35" s="85" t="s">
        <v>74</v>
      </c>
      <c r="C35" s="91"/>
      <c r="D35" s="92"/>
      <c r="E35" s="87" t="e">
        <f>IF(ABS(D35-D38)&lt;=100,"正常",IF(D35&gt;D38,"偏大"&amp;INT(D35-D38)&amp;"bp","偏小"&amp;INT(D38-D35)&amp;"bp"))</f>
        <v>#NUM!</v>
      </c>
      <c r="F35" s="87" t="e">
        <f t="shared" si="5"/>
        <v>#DIV/0!</v>
      </c>
      <c r="G35" s="85" t="e">
        <f t="shared" si="6"/>
        <v>#DIV/0!</v>
      </c>
      <c r="H35" s="85">
        <v>12.17</v>
      </c>
      <c r="I35" s="87">
        <f>ROUND(H35/H38,4)</f>
        <v>3.3E-3</v>
      </c>
      <c r="J35" s="91"/>
      <c r="K35" s="85">
        <f t="shared" si="7"/>
        <v>0</v>
      </c>
      <c r="L35" s="85" t="e">
        <f>K35/K38</f>
        <v>#DIV/0!</v>
      </c>
      <c r="M35" s="85" t="e">
        <f t="shared" si="8"/>
        <v>#DIV/0!</v>
      </c>
      <c r="N35" s="85" t="s">
        <v>72</v>
      </c>
      <c r="O35" s="85" t="s">
        <v>73</v>
      </c>
      <c r="P35" s="91"/>
      <c r="Q35" s="85">
        <f t="shared" si="9"/>
        <v>0</v>
      </c>
      <c r="R35" s="78"/>
      <c r="S35" s="78"/>
    </row>
    <row r="36" spans="1:19" ht="30" customHeight="1" x14ac:dyDescent="0.2">
      <c r="A36" s="85" t="s">
        <v>24</v>
      </c>
      <c r="B36" s="85" t="s">
        <v>75</v>
      </c>
      <c r="C36" s="91"/>
      <c r="D36" s="92"/>
      <c r="E36" s="87" t="e">
        <f>IF(ABS(D36-D38)&lt;=100,"正常",IF(D36&gt;D38,"偏大"&amp;INT(D36-D38)&amp;"bp","偏小"&amp;INT(D38-D36)&amp;"bp"))</f>
        <v>#NUM!</v>
      </c>
      <c r="F36" s="87" t="e">
        <f t="shared" si="5"/>
        <v>#DIV/0!</v>
      </c>
      <c r="G36" s="85" t="e">
        <f t="shared" si="6"/>
        <v>#DIV/0!</v>
      </c>
      <c r="H36" s="85">
        <v>11.98</v>
      </c>
      <c r="I36" s="87">
        <f>ROUND(H36/H38,4)</f>
        <v>3.3E-3</v>
      </c>
      <c r="J36" s="91"/>
      <c r="K36" s="85">
        <f t="shared" si="7"/>
        <v>0</v>
      </c>
      <c r="L36" s="85" t="e">
        <f>K36/K38</f>
        <v>#DIV/0!</v>
      </c>
      <c r="M36" s="85" t="e">
        <f t="shared" si="8"/>
        <v>#DIV/0!</v>
      </c>
      <c r="N36" s="85" t="s">
        <v>76</v>
      </c>
      <c r="O36" s="85" t="s">
        <v>73</v>
      </c>
      <c r="P36" s="91"/>
      <c r="Q36" s="85">
        <f t="shared" si="9"/>
        <v>0</v>
      </c>
      <c r="R36" s="78"/>
      <c r="S36" s="78"/>
    </row>
    <row r="37" spans="1:19" ht="30" customHeight="1" x14ac:dyDescent="0.2">
      <c r="A37" s="85" t="s">
        <v>24</v>
      </c>
      <c r="B37" s="85" t="s">
        <v>77</v>
      </c>
      <c r="C37" s="91"/>
      <c r="D37" s="92"/>
      <c r="E37" s="87" t="e">
        <f>IF(ABS(D37-D38)&lt;=100,"正常",IF(D37&gt;D38,"偏大"&amp;INT(D37-D38)&amp;"bp","偏小"&amp;INT(D38-D37)&amp;"bp"))</f>
        <v>#NUM!</v>
      </c>
      <c r="F37" s="87" t="e">
        <f t="shared" si="5"/>
        <v>#DIV/0!</v>
      </c>
      <c r="G37" s="85" t="e">
        <f t="shared" si="6"/>
        <v>#DIV/0!</v>
      </c>
      <c r="H37" s="85">
        <v>34.869999999999997</v>
      </c>
      <c r="I37" s="87">
        <f>ROUND(H37/H38,4)</f>
        <v>9.5999999999999992E-3</v>
      </c>
      <c r="J37" s="91"/>
      <c r="K37" s="85">
        <f t="shared" si="7"/>
        <v>0</v>
      </c>
      <c r="L37" s="85" t="e">
        <f>K37/K38</f>
        <v>#DIV/0!</v>
      </c>
      <c r="M37" s="85" t="e">
        <f t="shared" si="8"/>
        <v>#DIV/0!</v>
      </c>
      <c r="N37" s="85" t="s">
        <v>78</v>
      </c>
      <c r="O37" s="85" t="s">
        <v>73</v>
      </c>
      <c r="P37" s="91"/>
      <c r="Q37" s="85">
        <f t="shared" si="9"/>
        <v>0</v>
      </c>
      <c r="R37" s="78"/>
      <c r="S37" s="78"/>
    </row>
    <row r="38" spans="1:19" ht="30" customHeight="1" x14ac:dyDescent="0.2">
      <c r="A38" s="78"/>
      <c r="B38" s="78"/>
      <c r="C38" s="78"/>
      <c r="D38" s="81" t="e">
        <f>MEDIAN(D9:D37)</f>
        <v>#NUM!</v>
      </c>
      <c r="E38" s="84"/>
      <c r="F38" s="84"/>
      <c r="G38" s="78"/>
      <c r="H38" s="77">
        <f>SUM(H9:H37)</f>
        <v>3634.7799999999997</v>
      </c>
      <c r="I38" s="84"/>
      <c r="J38" s="78"/>
      <c r="K38" s="77">
        <f>SUM(K9:K37)</f>
        <v>0</v>
      </c>
      <c r="L38" s="78"/>
      <c r="M38" s="77" t="e">
        <f>SUM(M9:M37)</f>
        <v>#DIV/0!</v>
      </c>
      <c r="N38" s="78"/>
      <c r="O38" s="78"/>
      <c r="P38" s="77" t="e">
        <f>96-M38</f>
        <v>#DIV/0!</v>
      </c>
      <c r="Q38" s="78"/>
      <c r="R38" s="78"/>
      <c r="S38" s="78"/>
    </row>
    <row r="33383" s="2" customFormat="1" ht="30" customHeight="1" x14ac:dyDescent="0.15"/>
  </sheetData>
  <phoneticPr fontId="16" type="noConversion"/>
  <conditionalFormatting sqref="B10 B28 B57:B1048576">
    <cfRule type="duplicateValues" dxfId="91" priority="60"/>
  </conditionalFormatting>
  <conditionalFormatting sqref="E1:E1048576">
    <cfRule type="containsText" dxfId="90" priority="1" operator="containsText" text="偏小">
      <formula>NOT(ISERROR(SEARCH("偏小",E1)))</formula>
    </cfRule>
    <cfRule type="containsText" dxfId="89" priority="2" operator="containsText" text="偏大">
      <formula>NOT(ISERROR(SEARCH("偏大",E1)))</formula>
    </cfRule>
    <cfRule type="cellIs" dxfId="88" priority="3" operator="equal">
      <formula>"偏大"</formula>
    </cfRule>
    <cfRule type="cellIs" dxfId="87" priority="4" operator="equal">
      <formula>"偏小"</formula>
    </cfRule>
  </conditionalFormatting>
  <conditionalFormatting sqref="R1:R1048576">
    <cfRule type="cellIs" dxfId="86" priority="5" operator="lessThan">
      <formula>0</formula>
    </cfRule>
  </conditionalFormatting>
  <conditionalFormatting sqref="W2:W9">
    <cfRule type="duplicateValues" dxfId="85" priority="42"/>
  </conditionalFormatting>
  <conditionalFormatting sqref="W10 W28 W57:W1048576">
    <cfRule type="duplicateValues" dxfId="84" priority="61"/>
  </conditionalFormatting>
  <conditionalFormatting sqref="W11:W27">
    <cfRule type="duplicateValues" dxfId="83" priority="12"/>
  </conditionalFormatting>
  <conditionalFormatting sqref="W29:W56">
    <cfRule type="duplicateValues" dxfId="82" priority="6"/>
  </conditionalFormatting>
  <pageMargins left="0.75" right="0.75" top="1" bottom="1" header="0.5" footer="0.5"/>
  <pageSetup paperSize="9" scale="23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34524"/>
  <sheetViews>
    <sheetView zoomScale="85" zoomScaleNormal="85" workbookViewId="0">
      <pane ySplit="1" topLeftCell="A2" activePane="bottomLeft" state="frozen"/>
      <selection pane="bottomLeft" activeCell="O15" sqref="O15"/>
    </sheetView>
  </sheetViews>
  <sheetFormatPr defaultColWidth="9" defaultRowHeight="15.75" x14ac:dyDescent="0.15"/>
  <cols>
    <col min="1" max="1" width="12" style="3" customWidth="1"/>
    <col min="2" max="2" width="12" style="4" customWidth="1"/>
    <col min="3" max="3" width="19" style="2" customWidth="1"/>
    <col min="4" max="4" width="14" style="5" customWidth="1"/>
    <col min="5" max="5" width="22" style="5" customWidth="1"/>
    <col min="6" max="6" width="22" style="6" customWidth="1"/>
    <col min="7" max="7" width="24" style="2" customWidth="1"/>
    <col min="8" max="8" width="18" style="2" customWidth="1"/>
    <col min="9" max="9" width="24" style="2" customWidth="1"/>
    <col min="10" max="10" width="8" style="4" customWidth="1"/>
    <col min="11" max="11" width="4" style="4" customWidth="1"/>
    <col min="12" max="12" width="4" style="7" customWidth="1"/>
    <col min="13" max="13" width="4" style="4" customWidth="1"/>
    <col min="14" max="16" width="4" style="80" customWidth="1"/>
    <col min="17" max="17" width="4" style="8" customWidth="1"/>
    <col min="18" max="18" width="4" style="4" customWidth="1"/>
    <col min="19" max="19" width="4" style="80" customWidth="1"/>
    <col min="20" max="20" width="25.625" style="4" customWidth="1"/>
    <col min="21" max="21" width="12.625" style="4" customWidth="1"/>
    <col min="22" max="28" width="9" style="4" customWidth="1"/>
    <col min="29" max="16384" width="9" style="4"/>
  </cols>
  <sheetData>
    <row r="1" spans="1:19" s="1" customFormat="1" ht="33" customHeight="1" x14ac:dyDescent="0.2">
      <c r="A1" s="76" t="s">
        <v>387</v>
      </c>
      <c r="B1" s="50" t="s">
        <v>80</v>
      </c>
      <c r="C1" s="51" t="s">
        <v>388</v>
      </c>
      <c r="D1" s="52" t="s">
        <v>6</v>
      </c>
      <c r="E1" s="52" t="s">
        <v>82</v>
      </c>
      <c r="F1" s="53" t="s">
        <v>83</v>
      </c>
      <c r="G1" s="51" t="s">
        <v>389</v>
      </c>
      <c r="H1" s="51" t="s">
        <v>390</v>
      </c>
      <c r="I1" s="51" t="s">
        <v>391</v>
      </c>
      <c r="J1" s="9" t="s">
        <v>87</v>
      </c>
      <c r="K1" s="59"/>
      <c r="L1" s="60"/>
      <c r="M1" s="54"/>
      <c r="N1" s="54"/>
      <c r="O1" s="54"/>
      <c r="P1" s="54"/>
      <c r="Q1" s="58"/>
      <c r="R1" s="55"/>
      <c r="S1" s="55"/>
    </row>
    <row r="34524" s="2" customFormat="1" x14ac:dyDescent="0.15"/>
  </sheetData>
  <phoneticPr fontId="16" type="noConversion"/>
  <conditionalFormatting sqref="A1 A12 A25 A38:A1048576">
    <cfRule type="duplicateValues" dxfId="81" priority="640"/>
  </conditionalFormatting>
  <conditionalFormatting sqref="A1:A2 A12 A25 A38:A1048576">
    <cfRule type="duplicateValues" dxfId="80" priority="579"/>
  </conditionalFormatting>
  <conditionalFormatting sqref="A2">
    <cfRule type="duplicateValues" dxfId="79" priority="631"/>
  </conditionalFormatting>
  <conditionalFormatting sqref="A13">
    <cfRule type="duplicateValues" dxfId="78" priority="346"/>
  </conditionalFormatting>
  <conditionalFormatting sqref="A22">
    <cfRule type="duplicateValues" dxfId="77" priority="267"/>
  </conditionalFormatting>
  <conditionalFormatting sqref="A26">
    <cfRule type="duplicateValues" dxfId="76" priority="78"/>
  </conditionalFormatting>
  <conditionalFormatting sqref="B1 B12 B25 B38:B1048576">
    <cfRule type="duplicateValues" dxfId="75" priority="761"/>
  </conditionalFormatting>
  <conditionalFormatting sqref="B2">
    <cfRule type="duplicateValues" dxfId="74" priority="636"/>
  </conditionalFormatting>
  <conditionalFormatting sqref="B3">
    <cfRule type="duplicateValues" dxfId="73" priority="551"/>
  </conditionalFormatting>
  <conditionalFormatting sqref="B4">
    <cfRule type="duplicateValues" dxfId="72" priority="550"/>
  </conditionalFormatting>
  <conditionalFormatting sqref="B5">
    <cfRule type="duplicateValues" dxfId="71" priority="549"/>
  </conditionalFormatting>
  <conditionalFormatting sqref="B6">
    <cfRule type="duplicateValues" dxfId="70" priority="548"/>
  </conditionalFormatting>
  <conditionalFormatting sqref="B7">
    <cfRule type="duplicateValues" dxfId="69" priority="547"/>
  </conditionalFormatting>
  <conditionalFormatting sqref="B8">
    <cfRule type="duplicateValues" dxfId="68" priority="546"/>
  </conditionalFormatting>
  <conditionalFormatting sqref="B9">
    <cfRule type="duplicateValues" dxfId="67" priority="545"/>
  </conditionalFormatting>
  <conditionalFormatting sqref="B10">
    <cfRule type="duplicateValues" dxfId="66" priority="544"/>
  </conditionalFormatting>
  <conditionalFormatting sqref="B11">
    <cfRule type="duplicateValues" dxfId="65" priority="543"/>
  </conditionalFormatting>
  <conditionalFormatting sqref="B13">
    <cfRule type="duplicateValues" dxfId="64" priority="401"/>
  </conditionalFormatting>
  <conditionalFormatting sqref="B14">
    <cfRule type="duplicateValues" dxfId="63" priority="400"/>
  </conditionalFormatting>
  <conditionalFormatting sqref="B15">
    <cfRule type="duplicateValues" dxfId="62" priority="352"/>
  </conditionalFormatting>
  <conditionalFormatting sqref="B16">
    <cfRule type="duplicateValues" dxfId="61" priority="351"/>
  </conditionalFormatting>
  <conditionalFormatting sqref="B17">
    <cfRule type="duplicateValues" dxfId="60" priority="350"/>
  </conditionalFormatting>
  <conditionalFormatting sqref="B18">
    <cfRule type="duplicateValues" dxfId="59" priority="349"/>
  </conditionalFormatting>
  <conditionalFormatting sqref="B19">
    <cfRule type="duplicateValues" dxfId="58" priority="348"/>
  </conditionalFormatting>
  <conditionalFormatting sqref="B20">
    <cfRule type="duplicateValues" dxfId="57" priority="347"/>
  </conditionalFormatting>
  <conditionalFormatting sqref="B22">
    <cfRule type="duplicateValues" dxfId="56" priority="355"/>
  </conditionalFormatting>
  <conditionalFormatting sqref="B23">
    <cfRule type="duplicateValues" dxfId="55" priority="354"/>
  </conditionalFormatting>
  <conditionalFormatting sqref="B24">
    <cfRule type="duplicateValues" dxfId="54" priority="353"/>
  </conditionalFormatting>
  <conditionalFormatting sqref="B26">
    <cfRule type="duplicateValues" dxfId="53" priority="174"/>
  </conditionalFormatting>
  <conditionalFormatting sqref="B27">
    <cfRule type="duplicateValues" dxfId="52" priority="173"/>
  </conditionalFormatting>
  <conditionalFormatting sqref="B28">
    <cfRule type="duplicateValues" dxfId="51" priority="172"/>
  </conditionalFormatting>
  <conditionalFormatting sqref="B29">
    <cfRule type="duplicateValues" dxfId="50" priority="171"/>
  </conditionalFormatting>
  <conditionalFormatting sqref="B30">
    <cfRule type="duplicateValues" dxfId="49" priority="170"/>
  </conditionalFormatting>
  <conditionalFormatting sqref="B31">
    <cfRule type="duplicateValues" dxfId="48" priority="169"/>
  </conditionalFormatting>
  <conditionalFormatting sqref="B32">
    <cfRule type="duplicateValues" dxfId="47" priority="168"/>
  </conditionalFormatting>
  <conditionalFormatting sqref="B33">
    <cfRule type="duplicateValues" dxfId="46" priority="167"/>
  </conditionalFormatting>
  <conditionalFormatting sqref="B34">
    <cfRule type="duplicateValues" dxfId="45" priority="166"/>
  </conditionalFormatting>
  <conditionalFormatting sqref="B35">
    <cfRule type="duplicateValues" dxfId="44" priority="165"/>
  </conditionalFormatting>
  <conditionalFormatting sqref="B36">
    <cfRule type="duplicateValues" dxfId="43" priority="164"/>
  </conditionalFormatting>
  <conditionalFormatting sqref="B37">
    <cfRule type="duplicateValues" dxfId="42" priority="163"/>
  </conditionalFormatting>
  <conditionalFormatting sqref="F2:F11">
    <cfRule type="cellIs" dxfId="41" priority="47" operator="greaterThan">
      <formula>2.5</formula>
    </cfRule>
    <cfRule type="cellIs" dxfId="40" priority="57" operator="lessThan">
      <formula>0.3</formula>
    </cfRule>
  </conditionalFormatting>
  <conditionalFormatting sqref="F13:F20">
    <cfRule type="cellIs" dxfId="39" priority="36" operator="lessThan">
      <formula>0.3</formula>
    </cfRule>
    <cfRule type="cellIs" dxfId="38" priority="25" operator="greaterThan">
      <formula>2.5</formula>
    </cfRule>
  </conditionalFormatting>
  <conditionalFormatting sqref="F22:F24">
    <cfRule type="cellIs" dxfId="37" priority="42" operator="lessThan">
      <formula>0.3</formula>
    </cfRule>
    <cfRule type="cellIs" dxfId="36" priority="31" operator="greaterThan">
      <formula>2.5</formula>
    </cfRule>
  </conditionalFormatting>
  <conditionalFormatting sqref="F26:F37">
    <cfRule type="cellIs" dxfId="35" priority="13" operator="lessThan">
      <formula>0.3</formula>
    </cfRule>
    <cfRule type="cellIs" dxfId="34" priority="1" operator="greaterThan">
      <formula>2.5</formula>
    </cfRule>
  </conditionalFormatting>
  <conditionalFormatting sqref="P1 P12 P25 P38:P1048576">
    <cfRule type="duplicateValues" dxfId="33" priority="766"/>
  </conditionalFormatting>
  <conditionalFormatting sqref="P2">
    <cfRule type="duplicateValues" dxfId="32" priority="637"/>
  </conditionalFormatting>
  <conditionalFormatting sqref="P3">
    <cfRule type="duplicateValues" dxfId="31" priority="560"/>
  </conditionalFormatting>
  <conditionalFormatting sqref="P4">
    <cfRule type="duplicateValues" dxfId="30" priority="559"/>
  </conditionalFormatting>
  <conditionalFormatting sqref="P5">
    <cfRule type="duplicateValues" dxfId="29" priority="558"/>
  </conditionalFormatting>
  <conditionalFormatting sqref="P6">
    <cfRule type="duplicateValues" dxfId="28" priority="557"/>
  </conditionalFormatting>
  <conditionalFormatting sqref="P7">
    <cfRule type="duplicateValues" dxfId="27" priority="556"/>
  </conditionalFormatting>
  <conditionalFormatting sqref="P8">
    <cfRule type="duplicateValues" dxfId="26" priority="555"/>
  </conditionalFormatting>
  <conditionalFormatting sqref="P9">
    <cfRule type="duplicateValues" dxfId="25" priority="554"/>
  </conditionalFormatting>
  <conditionalFormatting sqref="P10">
    <cfRule type="duplicateValues" dxfId="24" priority="553"/>
  </conditionalFormatting>
  <conditionalFormatting sqref="P11">
    <cfRule type="duplicateValues" dxfId="23" priority="552"/>
  </conditionalFormatting>
  <conditionalFormatting sqref="P13">
    <cfRule type="duplicateValues" dxfId="22" priority="412"/>
  </conditionalFormatting>
  <conditionalFormatting sqref="P14">
    <cfRule type="duplicateValues" dxfId="21" priority="411"/>
  </conditionalFormatting>
  <conditionalFormatting sqref="P15">
    <cfRule type="duplicateValues" dxfId="20" priority="407"/>
  </conditionalFormatting>
  <conditionalFormatting sqref="P16">
    <cfRule type="duplicateValues" dxfId="19" priority="406"/>
  </conditionalFormatting>
  <conditionalFormatting sqref="P17">
    <cfRule type="duplicateValues" dxfId="18" priority="405"/>
  </conditionalFormatting>
  <conditionalFormatting sqref="P18">
    <cfRule type="duplicateValues" dxfId="17" priority="404"/>
  </conditionalFormatting>
  <conditionalFormatting sqref="P19">
    <cfRule type="duplicateValues" dxfId="16" priority="403"/>
  </conditionalFormatting>
  <conditionalFormatting sqref="P20">
    <cfRule type="duplicateValues" dxfId="15" priority="402"/>
  </conditionalFormatting>
  <conditionalFormatting sqref="P22">
    <cfRule type="duplicateValues" dxfId="14" priority="410"/>
  </conditionalFormatting>
  <conditionalFormatting sqref="P23">
    <cfRule type="duplicateValues" dxfId="13" priority="409"/>
  </conditionalFormatting>
  <conditionalFormatting sqref="P24">
    <cfRule type="duplicateValues" dxfId="12" priority="408"/>
  </conditionalFormatting>
  <conditionalFormatting sqref="P26">
    <cfRule type="duplicateValues" dxfId="11" priority="234"/>
  </conditionalFormatting>
  <conditionalFormatting sqref="P27">
    <cfRule type="duplicateValues" dxfId="10" priority="233"/>
  </conditionalFormatting>
  <conditionalFormatting sqref="P28">
    <cfRule type="duplicateValues" dxfId="9" priority="232"/>
  </conditionalFormatting>
  <conditionalFormatting sqref="P29">
    <cfRule type="duplicateValues" dxfId="8" priority="231"/>
  </conditionalFormatting>
  <conditionalFormatting sqref="P30">
    <cfRule type="duplicateValues" dxfId="7" priority="230"/>
  </conditionalFormatting>
  <conditionalFormatting sqref="P31">
    <cfRule type="duplicateValues" dxfId="6" priority="229"/>
  </conditionalFormatting>
  <conditionalFormatting sqref="P32">
    <cfRule type="duplicateValues" dxfId="5" priority="228"/>
  </conditionalFormatting>
  <conditionalFormatting sqref="P33">
    <cfRule type="duplicateValues" dxfId="4" priority="227"/>
  </conditionalFormatting>
  <conditionalFormatting sqref="P34">
    <cfRule type="duplicateValues" dxfId="3" priority="226"/>
  </conditionalFormatting>
  <conditionalFormatting sqref="P35">
    <cfRule type="duplicateValues" dxfId="2" priority="225"/>
  </conditionalFormatting>
  <conditionalFormatting sqref="P36">
    <cfRule type="duplicateValues" dxfId="1" priority="224"/>
  </conditionalFormatting>
  <conditionalFormatting sqref="P37">
    <cfRule type="duplicateValues" dxfId="0" priority="223"/>
  </conditionalFormatting>
  <printOptions horizontalCentered="1"/>
  <pageMargins left="0.75" right="0.75" top="0.98" bottom="0.98" header="0.51" footer="0.51"/>
  <pageSetup paperSize="9" scale="80" fitToWidth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</vt:lpstr>
      <vt:lpstr>B</vt:lpstr>
      <vt:lpstr>C</vt:lpstr>
      <vt:lpstr>文库环化</vt:lpstr>
      <vt:lpstr>T7+制备</vt:lpstr>
      <vt:lpstr>B1-B3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Haplox</cp:lastModifiedBy>
  <cp:lastPrinted>2022-03-27T15:17:00Z</cp:lastPrinted>
  <dcterms:created xsi:type="dcterms:W3CDTF">2017-11-11T18:31:00Z</dcterms:created>
  <dcterms:modified xsi:type="dcterms:W3CDTF">2026-07-20T08:47:05Z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  <property fmtid="{D5CDD505-2E9C-101B-9397-08002B2CF9AE}" pid="3" name="ICV">
    <vt:lpwstr>661EF343CB6A491B8F51128328A3C9D7_13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