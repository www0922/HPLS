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文库环化" sheetId="4" state="visible" r:id="rId4"/>
    <sheet xmlns:r="http://schemas.openxmlformats.org/officeDocument/2006/relationships" name="T7+制备" sheetId="5" state="visible" r:id="rId5"/>
    <sheet xmlns:r="http://schemas.openxmlformats.org/officeDocument/2006/relationships" name="B1-B3" sheetId="6" state="hidden" r:id="rId6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0.0_);[Red]\(0.0\)"/>
    <numFmt numFmtId="166" formatCode="0.000_);[Red]\(0.000\)"/>
    <numFmt numFmtId="167" formatCode="0.00_ "/>
    <numFmt numFmtId="168" formatCode="0.000_ "/>
    <numFmt numFmtId="169" formatCode="0.0000_);[Red]\(0.0000\)"/>
    <numFmt numFmtId="170" formatCode="0.0_ "/>
    <numFmt numFmtId="171" formatCode="0_);[Red]\(0\)"/>
    <numFmt numFmtId="172" formatCode="0.00;[Red]0.00"/>
    <numFmt numFmtId="173" formatCode="0.000"/>
    <numFmt numFmtId="174" formatCode="[$-409]yyyy/m/d\ h:mm\ "/>
    <numFmt numFmtId="175" formatCode="_ [$￥-804]* #,##0.00_ ;_ [$￥-804]* \-#,##0.00_ ;_ [$￥-804]* &quot;-&quot;??_ ;_ @_ "/>
    <numFmt numFmtId="176" formatCode="_ [$¥-804]* #,##0.00_ ;_ [$¥-804]* \-#,##0.00_ ;_ [$¥-804]* &quot;-&quot;??_ ;_ @_ "/>
  </numFmts>
  <fonts count="25">
    <font>
      <name val="宋体"/>
      <charset val="134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2"/>
    </font>
    <font>
      <name val="Times New Roman"/>
      <family val="1"/>
      <sz val="20"/>
    </font>
    <font>
      <name val="Times New Roman"/>
      <family val="1"/>
      <b val="1"/>
      <sz val="14"/>
    </font>
    <font>
      <name val="Times New Roman"/>
      <family val="1"/>
      <sz val="14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16"/>
    </font>
    <font>
      <name val="Times New Roman"/>
      <family val="1"/>
      <sz val="18"/>
    </font>
    <font>
      <name val="Times New Roman"/>
      <family val="1"/>
      <b val="1"/>
      <sz val="18"/>
    </font>
    <font>
      <name val="宋体"/>
      <charset val="134"/>
      <family val="3"/>
      <b val="1"/>
      <sz val="18"/>
    </font>
    <font>
      <name val="宋体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b val="1"/>
      <sz val="18"/>
    </font>
    <font>
      <name val="Times New Roman"/>
      <family val="1"/>
      <b val="1"/>
      <sz val="16"/>
    </font>
    <font>
      <name val="Times New Roman"/>
      <family val="1"/>
      <sz val="12"/>
    </font>
    <font>
      <name val="Times New Roman"/>
      <family val="1"/>
      <b val="1"/>
      <sz val="14"/>
    </font>
    <font>
      <name val="Times New Roman"/>
      <family val="1"/>
      <sz val="14"/>
    </font>
    <font>
      <name val="Times New Roman"/>
      <family val="1"/>
      <b val="1"/>
      <sz val="10"/>
    </font>
    <font>
      <name val="Times New Roman"/>
      <sz val="10"/>
    </font>
  </fonts>
  <fills count="13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FF0000"/>
        <bgColor rgb="FFFF0000"/>
      </patternFill>
    </fill>
    <fill>
      <patternFill patternType="solid">
        <fgColor rgb="0099CCFF"/>
        <bgColor rgb="0099CCFF"/>
      </patternFill>
    </fill>
    <fill>
      <patternFill patternType="solid">
        <fgColor rgb="00FF0000"/>
        <bgColor rgb="00FF0000"/>
      </patternFill>
    </fill>
    <fill>
      <patternFill patternType="solid">
        <fgColor rgb="003399FF"/>
        <bgColor rgb="003399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0">
    <xf numFmtId="0" fontId="0" fillId="0" borderId="0" applyAlignment="1">
      <alignment vertical="center"/>
    </xf>
    <xf numFmtId="0" fontId="13" fillId="0" borderId="0"/>
    <xf numFmtId="174" fontId="13" fillId="0" borderId="0"/>
    <xf numFmtId="175" fontId="13" fillId="0" borderId="0" applyAlignment="1">
      <alignment vertical="center"/>
    </xf>
    <xf numFmtId="175" fontId="14" fillId="0" borderId="0"/>
    <xf numFmtId="176" fontId="13" fillId="0" borderId="0" applyAlignment="1">
      <alignment vertical="center"/>
    </xf>
    <xf numFmtId="174" fontId="13" fillId="0" borderId="0" applyAlignment="1">
      <alignment vertical="center"/>
    </xf>
    <xf numFmtId="9" fontId="15" fillId="0" borderId="0" applyAlignment="1">
      <alignment vertical="center"/>
    </xf>
    <xf numFmtId="0" fontId="13" fillId="0" borderId="0" applyAlignment="1">
      <alignment vertical="center"/>
    </xf>
    <xf numFmtId="0" fontId="13" fillId="0" borderId="0"/>
  </cellStyleXfs>
  <cellXfs count="1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9" fontId="2" fillId="0" borderId="0" applyAlignment="1" pivotButton="0" quotePrefix="0" xfId="7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7">
      <alignment horizontal="center" vertical="center"/>
    </xf>
    <xf numFmtId="49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71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7">
      <alignment horizontal="center" vertical="center"/>
    </xf>
    <xf numFmtId="165" fontId="7" fillId="0" borderId="0" applyAlignment="1" pivotButton="0" quotePrefix="0" xfId="7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71" fontId="9" fillId="2" borderId="3" applyAlignment="1" pivotButton="0" quotePrefix="0" xfId="0">
      <alignment horizontal="center" vertical="center"/>
    </xf>
    <xf numFmtId="167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164" fontId="9" fillId="3" borderId="3" applyAlignment="1" pivotButton="0" quotePrefix="0" xfId="0">
      <alignment horizontal="center" vertical="center"/>
    </xf>
    <xf numFmtId="165" fontId="9" fillId="2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8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center" vertical="center"/>
    </xf>
    <xf numFmtId="165" fontId="12" fillId="2" borderId="0" applyAlignment="1" pivotButton="0" quotePrefix="0" xfId="0">
      <alignment horizontal="center" vertical="center"/>
    </xf>
    <xf numFmtId="167" fontId="12" fillId="2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17" fillId="0" borderId="0" pivotButton="0" quotePrefix="0" xfId="0"/>
    <xf numFmtId="0" fontId="17" fillId="0" borderId="0" applyAlignment="1" pivotButton="0" quotePrefix="0" xfId="0">
      <alignment horizontal="center" vertical="center"/>
    </xf>
    <xf numFmtId="168" fontId="17" fillId="4" borderId="1" applyAlignment="1" pivotButton="0" quotePrefix="0" xfId="0">
      <alignment horizontal="center" vertical="center" wrapText="1"/>
    </xf>
    <xf numFmtId="169" fontId="17" fillId="2" borderId="1" applyAlignment="1" pivotButton="0" quotePrefix="0" xfId="0">
      <alignment horizontal="center" vertical="center" wrapText="1"/>
    </xf>
    <xf numFmtId="167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9" fontId="17" fillId="0" borderId="0" applyAlignment="1" pivotButton="0" quotePrefix="0" xfId="7">
      <alignment horizontal="center" vertical="center" wrapText="1"/>
    </xf>
    <xf numFmtId="0" fontId="18" fillId="2" borderId="0" applyAlignment="1" pivotButton="0" quotePrefix="0" xfId="0">
      <alignment horizontal="center" vertical="center"/>
    </xf>
    <xf numFmtId="164" fontId="18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165" fontId="19" fillId="2" borderId="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167" fontId="22" fillId="4" borderId="1" applyAlignment="1" pivotButton="0" quotePrefix="0" xfId="0">
      <alignment horizontal="center" vertical="center"/>
    </xf>
    <xf numFmtId="168" fontId="21" fillId="4" borderId="1" applyAlignment="1" pivotButton="0" quotePrefix="0" xfId="0">
      <alignment horizontal="center" vertical="center"/>
    </xf>
    <xf numFmtId="167" fontId="21" fillId="4" borderId="1" applyAlignment="1" pivotButton="0" quotePrefix="0" xfId="0">
      <alignment horizontal="center" vertical="center"/>
    </xf>
    <xf numFmtId="166" fontId="21" fillId="2" borderId="1" applyAlignment="1" pivotButton="0" quotePrefix="0" xfId="0">
      <alignment horizontal="center" vertical="center"/>
    </xf>
    <xf numFmtId="168" fontId="22" fillId="3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4" fillId="0" borderId="4" applyAlignment="1" pivotButton="0" quotePrefix="0" xfId="0">
      <alignment horizontal="center" vertical="center"/>
    </xf>
    <xf numFmtId="0" fontId="24" fillId="0" borderId="4" pivotButton="0" quotePrefix="0" xfId="0"/>
    <xf numFmtId="0" fontId="24" fillId="9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center" vertical="center"/>
    </xf>
    <xf numFmtId="173" fontId="24" fillId="0" borderId="4" applyAlignment="1" pivotButton="0" quotePrefix="0" xfId="0">
      <alignment horizontal="center" vertical="center"/>
    </xf>
    <xf numFmtId="2" fontId="24" fillId="0" borderId="0" applyAlignment="1" pivotButton="0" quotePrefix="0" xfId="0">
      <alignment horizontal="center" vertical="center"/>
    </xf>
    <xf numFmtId="173" fontId="24" fillId="0" borderId="0" applyAlignment="1" pivotButton="0" quotePrefix="0" xfId="0">
      <alignment horizontal="center" vertical="center"/>
    </xf>
    <xf numFmtId="173" fontId="24" fillId="8" borderId="0" applyAlignment="1" pivotButton="0" quotePrefix="0" xfId="0">
      <alignment horizontal="center" vertical="center"/>
    </xf>
    <xf numFmtId="2" fontId="24" fillId="0" borderId="0" pivotButton="0" quotePrefix="0" xfId="0"/>
    <xf numFmtId="173" fontId="24" fillId="0" borderId="0" pivotButton="0" quotePrefix="0" xfId="0"/>
    <xf numFmtId="2" fontId="24" fillId="0" borderId="4" pivotButton="0" quotePrefix="0" xfId="0"/>
    <xf numFmtId="0" fontId="24" fillId="0" borderId="4" applyAlignment="1" pivotButton="0" quotePrefix="0" xfId="0">
      <alignment horizontal="center" vertical="center"/>
    </xf>
    <xf numFmtId="0" fontId="24" fillId="0" borderId="5" pivotButton="0" quotePrefix="0" xfId="0"/>
    <xf numFmtId="0" fontId="24" fillId="0" borderId="6" pivotButton="0" quotePrefix="0" xfId="0"/>
    <xf numFmtId="0" fontId="24" fillId="9" borderId="4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8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center" vertical="center"/>
    </xf>
    <xf numFmtId="165" fontId="12" fillId="2" borderId="0" applyAlignment="1" pivotButton="0" quotePrefix="0" xfId="0">
      <alignment horizontal="center" vertical="center"/>
    </xf>
    <xf numFmtId="164" fontId="18" fillId="2" borderId="0" applyAlignment="1" pivotButton="0" quotePrefix="0" xfId="0">
      <alignment horizontal="center" vertical="center"/>
    </xf>
    <xf numFmtId="167" fontId="12" fillId="2" borderId="1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7">
      <alignment horizontal="center" vertical="center"/>
    </xf>
    <xf numFmtId="165" fontId="7" fillId="0" borderId="0" applyAlignment="1" pivotButton="0" quotePrefix="0" xfId="7">
      <alignment horizontal="center" vertical="center"/>
    </xf>
    <xf numFmtId="164" fontId="9" fillId="2" borderId="3" applyAlignment="1" pivotButton="0" quotePrefix="0" xfId="0">
      <alignment horizontal="center" vertical="center"/>
    </xf>
    <xf numFmtId="171" fontId="9" fillId="2" borderId="3" applyAlignment="1" pivotButton="0" quotePrefix="0" xfId="0">
      <alignment horizontal="center" vertical="center"/>
    </xf>
    <xf numFmtId="167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164" fontId="9" fillId="3" borderId="3" applyAlignment="1" pivotButton="0" quotePrefix="0" xfId="0">
      <alignment horizontal="center" vertical="center"/>
    </xf>
    <xf numFmtId="165" fontId="9" fillId="2" borderId="3" applyAlignment="1" pivotButton="0" quotePrefix="0" xfId="0">
      <alignment horizontal="center" vertical="center"/>
    </xf>
    <xf numFmtId="165" fontId="19" fillId="2" borderId="3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7">
      <alignment horizontal="center" vertical="center"/>
    </xf>
    <xf numFmtId="170" fontId="2" fillId="0" borderId="0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167" fontId="22" fillId="4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168" fontId="17" fillId="4" borderId="1" applyAlignment="1" pivotButton="0" quotePrefix="0" xfId="0">
      <alignment horizontal="center" vertical="center" wrapText="1"/>
    </xf>
    <xf numFmtId="168" fontId="21" fillId="4" borderId="1" applyAlignment="1" pivotButton="0" quotePrefix="0" xfId="0">
      <alignment horizontal="center" vertical="center"/>
    </xf>
    <xf numFmtId="167" fontId="21" fillId="4" borderId="1" applyAlignment="1" pivotButton="0" quotePrefix="0" xfId="0">
      <alignment horizontal="center" vertical="center"/>
    </xf>
    <xf numFmtId="166" fontId="21" fillId="2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69" fontId="17" fillId="2" borderId="1" applyAlignment="1" pivotButton="0" quotePrefix="0" xfId="0">
      <alignment horizontal="center" vertical="center" wrapText="1"/>
    </xf>
    <xf numFmtId="168" fontId="22" fillId="3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167" fontId="1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11" borderId="8" applyAlignment="1" pivotButton="0" quotePrefix="0" xfId="0">
      <alignment horizontal="center" vertical="center"/>
    </xf>
    <xf numFmtId="0" fontId="0" fillId="11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4" fillId="0" borderId="8" applyAlignment="1" pivotButton="0" quotePrefix="0" xfId="0">
      <alignment horizontal="center" vertical="center"/>
    </xf>
    <xf numFmtId="2" fontId="24" fillId="0" borderId="8" applyAlignment="1" pivotButton="0" quotePrefix="0" xfId="0">
      <alignment horizontal="center" vertical="center"/>
    </xf>
    <xf numFmtId="173" fontId="24" fillId="0" borderId="8" applyAlignment="1" pivotButton="0" quotePrefix="0" xfId="0">
      <alignment horizontal="center" vertical="center"/>
    </xf>
    <xf numFmtId="173" fontId="24" fillId="10" borderId="0" applyAlignment="1" pivotButton="0" quotePrefix="0" xfId="0">
      <alignment horizontal="center" vertical="center"/>
    </xf>
    <xf numFmtId="0" fontId="24" fillId="0" borderId="10" pivotButton="0" quotePrefix="0" xfId="0"/>
    <xf numFmtId="0" fontId="24" fillId="0" borderId="11" pivotButton="0" quotePrefix="0" xfId="0"/>
    <xf numFmtId="0" fontId="24" fillId="11" borderId="8" applyAlignment="1" pivotButton="0" quotePrefix="0" xfId="0">
      <alignment horizontal="center" vertical="center"/>
    </xf>
    <xf numFmtId="0" fontId="24" fillId="0" borderId="8" pivotButton="0" quotePrefix="0" xfId="0"/>
    <xf numFmtId="2" fontId="24" fillId="0" borderId="8" pivotButton="0" quotePrefix="0" xfId="0"/>
    <xf numFmtId="0" fontId="0" fillId="12" borderId="8" applyAlignment="1" pivotButton="0" quotePrefix="0" xfId="0">
      <alignment horizontal="center" vertical="center"/>
    </xf>
    <xf numFmtId="0" fontId="24" fillId="12" borderId="8" applyAlignment="1" pivotButton="0" quotePrefix="0" xfId="0">
      <alignment horizontal="center" vertical="center"/>
    </xf>
  </cellXfs>
  <cellStyles count="10">
    <cellStyle name="常规" xfId="0" builtinId="0"/>
    <cellStyle name="常规 2" xfId="1"/>
    <cellStyle name="常规 2 4 2 2" xfId="2"/>
    <cellStyle name="常规 13" xfId="3"/>
    <cellStyle name="Normal_tmc program 2003may24 (Excel 5.0)" xfId="4"/>
    <cellStyle name="常规 156 3" xfId="5"/>
    <cellStyle name="常规 31" xfId="6"/>
    <cellStyle name="百分比" xfId="7" builtinId="5"/>
    <cellStyle name="常规 10 3" xfId="8"/>
    <cellStyle name="常规 130 3 2" xfId="9"/>
  </cellStyles>
  <dxfs count="1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8"/>
  <sheetViews>
    <sheetView topLeftCell="I1" workbookViewId="0">
      <selection activeCell="M5" sqref="M5"/>
    </sheetView>
  </sheetViews>
  <sheetFormatPr baseColWidth="8" defaultColWidth="8.75" defaultRowHeight="30" customHeight="1"/>
  <cols>
    <col width="12" customWidth="1" style="27" min="1" max="1"/>
    <col width="20" customWidth="1" style="27" min="2" max="2"/>
    <col width="22" customWidth="1" style="96" min="3" max="3"/>
    <col width="26" customWidth="1" style="96" min="4" max="4"/>
    <col width="22" customWidth="1" style="97" min="5" max="5"/>
    <col width="60" customWidth="1" style="98" min="6" max="6"/>
    <col width="27" customWidth="1" style="27" min="7" max="7"/>
    <col width="32" customWidth="1" style="27" min="8" max="8"/>
    <col width="27" customWidth="1" style="96" min="9" max="9"/>
    <col width="8" customWidth="1" style="99" min="10" max="11"/>
    <col width="8" customWidth="1" style="80" min="11" max="11"/>
    <col width="43" customWidth="1" style="99" min="12" max="12"/>
    <col width="21" customWidth="1" style="27" min="13" max="13"/>
    <col width="22" customWidth="1" style="27" min="14" max="14"/>
    <col width="23" customWidth="1" style="27" min="15" max="15"/>
    <col width="12" customWidth="1" style="27" min="16" max="16"/>
    <col width="10" customWidth="1" style="27" min="17" max="17"/>
    <col width="17.25" customWidth="1" style="27" min="18" max="18"/>
    <col width="8.75" customWidth="1" style="27" min="19" max="21"/>
    <col width="9.125" customWidth="1" style="27" min="22" max="22"/>
    <col width="8.75" customWidth="1" style="27" min="23" max="27"/>
    <col width="8.75" customWidth="1" style="27" min="28" max="16384"/>
  </cols>
  <sheetData>
    <row r="1" ht="90" customFormat="1" customHeight="1" s="26">
      <c r="A1" s="61" t="inlineStr">
        <is>
          <t>Lane编号</t>
        </is>
      </c>
      <c r="B1" s="33" t="inlineStr">
        <is>
          <t>文库编号</t>
        </is>
      </c>
      <c r="C1" s="100" t="inlineStr">
        <is>
          <t>Qubit浓度（ng/ul）</t>
        </is>
      </c>
      <c r="D1" s="100" t="inlineStr">
        <is>
          <t>数据量（G)</t>
        </is>
      </c>
      <c r="E1" s="101" t="inlineStr">
        <is>
          <t>文库摩尔质量（nM）</t>
        </is>
      </c>
      <c r="F1" s="102" t="inlineStr">
        <is>
          <t>最终取样体积（ul）</t>
        </is>
      </c>
      <c r="G1" s="33" t="inlineStr">
        <is>
          <t>文库类型</t>
        </is>
      </c>
      <c r="H1" s="103" t="inlineStr">
        <is>
          <t>客户单位</t>
        </is>
      </c>
      <c r="I1" s="104" t="inlineStr">
        <is>
          <t>TE Buffer补充体积（uL）</t>
        </is>
      </c>
      <c r="J1" s="105" t="inlineStr">
        <is>
          <t>孔号</t>
        </is>
      </c>
      <c r="K1" s="105" t="inlineStr">
        <is>
          <t>板号</t>
        </is>
      </c>
      <c r="L1" s="105" t="inlineStr">
        <is>
          <t>备注</t>
        </is>
      </c>
      <c r="M1" s="63" t="inlineStr">
        <is>
          <t>片段</t>
        </is>
      </c>
      <c r="N1" s="63" t="inlineStr">
        <is>
          <t>Qubit浓度（ng/ul）</t>
        </is>
      </c>
      <c r="O1" s="63" t="inlineStr">
        <is>
          <t>文库结构</t>
        </is>
      </c>
      <c r="P1" s="63" t="inlineStr">
        <is>
          <t>磷酸化*</t>
        </is>
      </c>
      <c r="Q1" s="63" t="inlineStr">
        <is>
          <t>环化*</t>
        </is>
      </c>
    </row>
    <row r="2" ht="30" customHeight="1" s="80">
      <c r="A2" s="155" t="inlineStr">
        <is>
          <t>A1</t>
        </is>
      </c>
      <c r="B2" s="155" t="inlineStr">
        <is>
          <t>HGC-Lib-26083601</t>
        </is>
      </c>
      <c r="C2" s="155" t="n">
        <v>43.82</v>
      </c>
      <c r="D2" s="156" t="n">
        <v>100</v>
      </c>
      <c r="E2" s="157" t="n">
        <v>50</v>
      </c>
      <c r="F2" s="157">
        <f>ROUND(E2/C2*G3,3)</f>
        <v/>
      </c>
      <c r="G2" s="155" t="inlineStr">
        <is>
          <t>MobiNova 单细胞3端文库</t>
        </is>
      </c>
      <c r="H2" s="155" t="inlineStr">
        <is>
          <t>广州承启生物科技有限公司</t>
        </is>
      </c>
      <c r="I2" s="157" t="n"/>
      <c r="J2" s="155" t="n"/>
      <c r="K2" s="155" t="n"/>
      <c r="L2" s="77" t="n"/>
      <c r="M2" s="77" t="n">
        <v>55.68</v>
      </c>
      <c r="N2" s="77" t="n">
        <v>43.82</v>
      </c>
      <c r="O2" s="77" t="inlineStr">
        <is>
          <t>Illumina Truseq文库</t>
        </is>
      </c>
      <c r="P2" s="77" t="inlineStr">
        <is>
          <t>未磷酸化</t>
        </is>
      </c>
      <c r="Q2" s="77" t="inlineStr">
        <is>
          <t>未环化</t>
        </is>
      </c>
    </row>
    <row r="3" ht="30" customHeight="1" s="80">
      <c r="A3" s="78" t="n"/>
      <c r="B3" s="78" t="n"/>
      <c r="C3" s="78" t="n"/>
      <c r="D3" s="86">
        <f>ROUND(SUM(D2:D2),2)</f>
        <v/>
      </c>
      <c r="E3" s="87" t="n">
        <v>50</v>
      </c>
      <c r="F3" s="87">
        <f>IF(G3&gt;1,ROUND(SUM(F2:F2)/G3*2,3),ROUND(SUM(F2:F2),3))</f>
        <v/>
      </c>
      <c r="G3" s="77" t="n">
        <v>1</v>
      </c>
      <c r="H3" s="78" t="n"/>
      <c r="I3" s="158">
        <f>ROUND(20-F3,3)</f>
        <v/>
      </c>
      <c r="J3" s="78" t="n"/>
      <c r="K3" s="78" t="n"/>
      <c r="L3" s="78" t="n"/>
      <c r="M3" s="77">
        <f>AVERAGE(M2:M2)</f>
        <v/>
      </c>
      <c r="N3" s="78" t="n"/>
      <c r="O3" s="78" t="n"/>
      <c r="P3" s="78" t="n"/>
      <c r="Q3" s="78" t="n"/>
    </row>
    <row r="4" ht="30" customHeight="1" s="80">
      <c r="A4" s="155" t="inlineStr">
        <is>
          <t>A2</t>
        </is>
      </c>
      <c r="B4" s="155" t="inlineStr">
        <is>
          <t>HGC-Lib-26084339</t>
        </is>
      </c>
      <c r="C4" s="155" t="n">
        <v>48.49</v>
      </c>
      <c r="D4" s="156" t="n">
        <v>100</v>
      </c>
      <c r="E4" s="157" t="n">
        <v>50</v>
      </c>
      <c r="F4" s="157">
        <f>ROUND(E4/C4*G5,3)</f>
        <v/>
      </c>
      <c r="G4" s="155" t="inlineStr">
        <is>
          <t>墨卓单细胞3端转录组文库</t>
        </is>
      </c>
      <c r="H4" s="155" t="inlineStr">
        <is>
          <t>武汉百易汇能生物科技有限公司</t>
        </is>
      </c>
      <c r="I4" s="157" t="n"/>
      <c r="J4" s="155" t="n"/>
      <c r="K4" s="155" t="n"/>
      <c r="L4" s="77" t="n"/>
      <c r="M4" s="77" t="n">
        <v>409</v>
      </c>
      <c r="N4" s="77" t="n">
        <v>48.49</v>
      </c>
      <c r="O4" s="77" t="inlineStr">
        <is>
          <t>Illumina Truseq文库</t>
        </is>
      </c>
      <c r="P4" s="77" t="inlineStr">
        <is>
          <t>未磷酸化</t>
        </is>
      </c>
      <c r="Q4" s="77" t="inlineStr">
        <is>
          <t>未环化</t>
        </is>
      </c>
    </row>
    <row r="5" ht="30" customHeight="1" s="80">
      <c r="A5" s="78" t="n"/>
      <c r="B5" s="78" t="n"/>
      <c r="C5" s="78" t="n"/>
      <c r="D5" s="86">
        <f>ROUND(SUM(D4:D4),2)</f>
        <v/>
      </c>
      <c r="E5" s="87" t="n">
        <v>50</v>
      </c>
      <c r="F5" s="87">
        <f>IF(G5&gt;1,ROUND(SUM(F4:F4)/G5*2,3),ROUND(SUM(F4:F4),3))</f>
        <v/>
      </c>
      <c r="G5" s="77" t="n">
        <v>1</v>
      </c>
      <c r="H5" s="78" t="n"/>
      <c r="I5" s="158">
        <f>ROUND(20-F5,3)</f>
        <v/>
      </c>
      <c r="J5" s="78" t="n"/>
      <c r="K5" s="78" t="n"/>
      <c r="L5" s="78" t="n"/>
      <c r="M5" s="77">
        <f>AVERAGE(M4:M4)</f>
        <v/>
      </c>
      <c r="N5" s="78" t="n"/>
      <c r="O5" s="78" t="n"/>
      <c r="P5" s="78" t="n"/>
      <c r="Q5" s="78" t="n"/>
    </row>
    <row r="6" ht="30" customHeight="1" s="80">
      <c r="A6" s="155" t="inlineStr">
        <is>
          <t>A3</t>
        </is>
      </c>
      <c r="B6" s="155" t="inlineStr">
        <is>
          <t>HGC-Lib-26084530</t>
        </is>
      </c>
      <c r="C6" s="155" t="n">
        <v>60.11</v>
      </c>
      <c r="D6" s="156" t="n">
        <v>100</v>
      </c>
      <c r="E6" s="157" t="n">
        <v>7.143</v>
      </c>
      <c r="F6" s="157">
        <f>ROUND(E6/C6*G13,3)</f>
        <v/>
      </c>
      <c r="G6" s="155" t="inlineStr">
        <is>
          <t>10x3′单细胞转录组</t>
        </is>
      </c>
      <c r="H6" s="155" t="inlineStr">
        <is>
          <t>江西烈冰生物科技有限公司</t>
        </is>
      </c>
      <c r="I6" s="157" t="n"/>
      <c r="J6" s="155" t="n"/>
      <c r="K6" s="155" t="n"/>
      <c r="L6" s="77" t="n"/>
      <c r="M6" s="77" t="n"/>
      <c r="N6" s="77" t="n">
        <v>60.11</v>
      </c>
      <c r="O6" s="77" t="n"/>
      <c r="P6" s="77" t="inlineStr">
        <is>
          <t>未磷酸化</t>
        </is>
      </c>
      <c r="Q6" s="77" t="inlineStr">
        <is>
          <t>未环化</t>
        </is>
      </c>
    </row>
    <row r="7" ht="30" customHeight="1" s="80">
      <c r="A7" s="159" t="n"/>
      <c r="B7" s="155" t="inlineStr">
        <is>
          <t>HGC-Lib-26084531</t>
        </is>
      </c>
      <c r="C7" s="155" t="n">
        <v>75.98</v>
      </c>
      <c r="D7" s="156" t="n">
        <v>100</v>
      </c>
      <c r="E7" s="157" t="n">
        <v>7.143</v>
      </c>
      <c r="F7" s="157">
        <f>ROUND(E7/C7*G13,3)</f>
        <v/>
      </c>
      <c r="G7" s="155" t="inlineStr">
        <is>
          <t>10x3′单细胞转录组</t>
        </is>
      </c>
      <c r="H7" s="155" t="inlineStr">
        <is>
          <t>江西烈冰生物科技有限公司</t>
        </is>
      </c>
      <c r="I7" s="157" t="n"/>
      <c r="J7" s="155" t="n"/>
      <c r="K7" s="155" t="n"/>
      <c r="L7" s="77" t="n"/>
      <c r="M7" s="77" t="n"/>
      <c r="N7" s="77" t="n">
        <v>75.98</v>
      </c>
      <c r="O7" s="77" t="n"/>
      <c r="P7" s="77" t="inlineStr">
        <is>
          <t>未磷酸化</t>
        </is>
      </c>
      <c r="Q7" s="77" t="inlineStr">
        <is>
          <t>未环化</t>
        </is>
      </c>
    </row>
    <row r="8" ht="30" customHeight="1" s="80">
      <c r="A8" s="159" t="n"/>
      <c r="B8" s="155" t="inlineStr">
        <is>
          <t>HGC-Lib-26084532</t>
        </is>
      </c>
      <c r="C8" s="155" t="n">
        <v>38.83</v>
      </c>
      <c r="D8" s="156" t="n">
        <v>100</v>
      </c>
      <c r="E8" s="157" t="n">
        <v>7.143</v>
      </c>
      <c r="F8" s="157">
        <f>ROUND(E8/C8*G13,3)</f>
        <v/>
      </c>
      <c r="G8" s="155" t="inlineStr">
        <is>
          <t>10x3′单细胞转录组</t>
        </is>
      </c>
      <c r="H8" s="155" t="inlineStr">
        <is>
          <t>江西烈冰生物科技有限公司</t>
        </is>
      </c>
      <c r="I8" s="157" t="n"/>
      <c r="J8" s="155" t="n"/>
      <c r="K8" s="155" t="n"/>
      <c r="L8" s="77" t="n"/>
      <c r="M8" s="77" t="n"/>
      <c r="N8" s="77" t="n">
        <v>38.83</v>
      </c>
      <c r="O8" s="77" t="n"/>
      <c r="P8" s="77" t="inlineStr">
        <is>
          <t>未磷酸化</t>
        </is>
      </c>
      <c r="Q8" s="77" t="inlineStr">
        <is>
          <t>未环化</t>
        </is>
      </c>
    </row>
    <row r="9" ht="30" customHeight="1" s="80">
      <c r="A9" s="159" t="n"/>
      <c r="B9" s="155" t="inlineStr">
        <is>
          <t>HGC-Lib-26084533</t>
        </is>
      </c>
      <c r="C9" s="155" t="n">
        <v>20.38</v>
      </c>
      <c r="D9" s="156" t="n">
        <v>100</v>
      </c>
      <c r="E9" s="157" t="n">
        <v>7.143</v>
      </c>
      <c r="F9" s="157">
        <f>ROUND(E9/C9*G13,3)</f>
        <v/>
      </c>
      <c r="G9" s="155" t="inlineStr">
        <is>
          <t>10x3′单细胞转录组</t>
        </is>
      </c>
      <c r="H9" s="155" t="inlineStr">
        <is>
          <t>江西烈冰生物科技有限公司</t>
        </is>
      </c>
      <c r="I9" s="157" t="n"/>
      <c r="J9" s="155" t="n"/>
      <c r="K9" s="155" t="n"/>
      <c r="L9" s="77" t="n"/>
      <c r="M9" s="77" t="n"/>
      <c r="N9" s="77" t="n">
        <v>20.38</v>
      </c>
      <c r="O9" s="77" t="n"/>
      <c r="P9" s="77" t="inlineStr">
        <is>
          <t>未磷酸化</t>
        </is>
      </c>
      <c r="Q9" s="77" t="inlineStr">
        <is>
          <t>未环化</t>
        </is>
      </c>
    </row>
    <row r="10" ht="30" customHeight="1" s="80">
      <c r="A10" s="159" t="n"/>
      <c r="B10" s="155" t="inlineStr">
        <is>
          <t>HGC-Lib-26084534</t>
        </is>
      </c>
      <c r="C10" s="155" t="n">
        <v>26.45</v>
      </c>
      <c r="D10" s="156" t="n">
        <v>100</v>
      </c>
      <c r="E10" s="157" t="n">
        <v>7.143</v>
      </c>
      <c r="F10" s="157">
        <f>ROUND(E10/C10*G13,3)</f>
        <v/>
      </c>
      <c r="G10" s="155" t="inlineStr">
        <is>
          <t>10x3′单细胞转录组</t>
        </is>
      </c>
      <c r="H10" s="155" t="inlineStr">
        <is>
          <t>江西烈冰生物科技有限公司</t>
        </is>
      </c>
      <c r="I10" s="157" t="n"/>
      <c r="J10" s="155" t="n"/>
      <c r="K10" s="155" t="n"/>
      <c r="L10" s="77" t="n"/>
      <c r="M10" s="77" t="n"/>
      <c r="N10" s="77" t="n">
        <v>26.45</v>
      </c>
      <c r="O10" s="77" t="n"/>
      <c r="P10" s="77" t="inlineStr">
        <is>
          <t>未磷酸化</t>
        </is>
      </c>
      <c r="Q10" s="77" t="inlineStr">
        <is>
          <t>未环化</t>
        </is>
      </c>
    </row>
    <row r="11" ht="30" customHeight="1" s="80">
      <c r="A11" s="159" t="n"/>
      <c r="B11" s="155" t="inlineStr">
        <is>
          <t>HGC-Lib-26084535</t>
        </is>
      </c>
      <c r="C11" s="155" t="n">
        <v>70.62</v>
      </c>
      <c r="D11" s="156" t="n">
        <v>100</v>
      </c>
      <c r="E11" s="157" t="n">
        <v>7.143</v>
      </c>
      <c r="F11" s="157">
        <f>ROUND(E11/C11*G13,3)</f>
        <v/>
      </c>
      <c r="G11" s="155" t="inlineStr">
        <is>
          <t>10x3′单细胞转录组</t>
        </is>
      </c>
      <c r="H11" s="155" t="inlineStr">
        <is>
          <t>江西烈冰生物科技有限公司</t>
        </is>
      </c>
      <c r="I11" s="157" t="n"/>
      <c r="J11" s="155" t="n"/>
      <c r="K11" s="155" t="n"/>
      <c r="L11" s="77" t="n"/>
      <c r="M11" s="77" t="n"/>
      <c r="N11" s="77" t="n">
        <v>70.62</v>
      </c>
      <c r="O11" s="77" t="n"/>
      <c r="P11" s="77" t="inlineStr">
        <is>
          <t>未磷酸化</t>
        </is>
      </c>
      <c r="Q11" s="77" t="inlineStr">
        <is>
          <t>未环化</t>
        </is>
      </c>
    </row>
    <row r="12" ht="30" customHeight="1" s="80">
      <c r="A12" s="160" t="n"/>
      <c r="B12" s="155" t="inlineStr">
        <is>
          <t>HGC-Lib-26084536</t>
        </is>
      </c>
      <c r="C12" s="155" t="n">
        <v>37.61</v>
      </c>
      <c r="D12" s="156" t="n">
        <v>100</v>
      </c>
      <c r="E12" s="157" t="n">
        <v>7.143</v>
      </c>
      <c r="F12" s="157">
        <f>ROUND(E12/C12*G13,3)</f>
        <v/>
      </c>
      <c r="G12" s="155" t="inlineStr">
        <is>
          <t>10x3′单细胞转录组</t>
        </is>
      </c>
      <c r="H12" s="155" t="inlineStr">
        <is>
          <t>江西烈冰生物科技有限公司</t>
        </is>
      </c>
      <c r="I12" s="157" t="n"/>
      <c r="J12" s="155" t="n"/>
      <c r="K12" s="155" t="n"/>
      <c r="L12" s="77" t="n"/>
      <c r="M12" s="77" t="n"/>
      <c r="N12" s="77" t="n">
        <v>37.61</v>
      </c>
      <c r="O12" s="77" t="n"/>
      <c r="P12" s="77" t="inlineStr">
        <is>
          <t>未磷酸化</t>
        </is>
      </c>
      <c r="Q12" s="77" t="inlineStr">
        <is>
          <t>未环化</t>
        </is>
      </c>
    </row>
    <row r="13" ht="30" customHeight="1" s="80">
      <c r="A13" s="78" t="n"/>
      <c r="B13" s="78" t="n"/>
      <c r="C13" s="78" t="n"/>
      <c r="D13" s="86">
        <f>ROUND(SUM(D6:D12),2)</f>
        <v/>
      </c>
      <c r="E13" s="87" t="n">
        <v>50.001</v>
      </c>
      <c r="F13" s="87">
        <f>IF(G13&gt;1,ROUND(SUM(F6:F12)/G13*2,3),ROUND(SUM(F6:F12),3))</f>
        <v/>
      </c>
      <c r="G13" s="77" t="n">
        <v>6</v>
      </c>
      <c r="H13" s="78" t="n"/>
      <c r="I13" s="158">
        <f>ROUND(20-F13,3)</f>
        <v/>
      </c>
      <c r="J13" s="78" t="n"/>
      <c r="K13" s="78" t="n"/>
      <c r="L13" s="78" t="n"/>
      <c r="M13" s="77">
        <f>AVERAGE(M6:M12)</f>
        <v/>
      </c>
      <c r="N13" s="78" t="n"/>
      <c r="O13" s="78" t="n"/>
      <c r="P13" s="78" t="n"/>
      <c r="Q13" s="78" t="n"/>
    </row>
    <row r="14" ht="30" customHeight="1" s="80">
      <c r="A14" s="155" t="inlineStr">
        <is>
          <t>A4</t>
        </is>
      </c>
      <c r="B14" s="155" t="inlineStr">
        <is>
          <t>HGC-Lib-26084537</t>
        </is>
      </c>
      <c r="C14" s="155" t="n">
        <v>87.26000000000001</v>
      </c>
      <c r="D14" s="156" t="n">
        <v>100</v>
      </c>
      <c r="E14" s="157" t="n">
        <v>8.333</v>
      </c>
      <c r="F14" s="157">
        <f>ROUND(E14/C14*G20,3)</f>
        <v/>
      </c>
      <c r="G14" s="155" t="inlineStr">
        <is>
          <t>10x3′单细胞转录组</t>
        </is>
      </c>
      <c r="H14" s="155" t="inlineStr">
        <is>
          <t>江西烈冰生物科技有限公司</t>
        </is>
      </c>
      <c r="I14" s="157" t="n"/>
      <c r="J14" s="155" t="n"/>
      <c r="K14" s="155" t="n"/>
      <c r="L14" s="77" t="n"/>
      <c r="M14" s="77" t="n"/>
      <c r="N14" s="77" t="n">
        <v>87.26000000000001</v>
      </c>
      <c r="O14" s="77" t="n"/>
      <c r="P14" s="77" t="inlineStr">
        <is>
          <t>未磷酸化</t>
        </is>
      </c>
      <c r="Q14" s="77" t="inlineStr">
        <is>
          <t>未环化</t>
        </is>
      </c>
    </row>
    <row r="15" ht="30" customHeight="1" s="80">
      <c r="A15" s="159" t="n"/>
      <c r="B15" s="155" t="inlineStr">
        <is>
          <t>HGC-Lib-26084538</t>
        </is>
      </c>
      <c r="C15" s="155" t="n">
        <v>48.79</v>
      </c>
      <c r="D15" s="156" t="n">
        <v>100</v>
      </c>
      <c r="E15" s="157" t="n">
        <v>8.333</v>
      </c>
      <c r="F15" s="157">
        <f>ROUND(E15/C15*G20,3)</f>
        <v/>
      </c>
      <c r="G15" s="155" t="inlineStr">
        <is>
          <t>10x3′单细胞转录组</t>
        </is>
      </c>
      <c r="H15" s="155" t="inlineStr">
        <is>
          <t>江西烈冰生物科技有限公司</t>
        </is>
      </c>
      <c r="I15" s="157" t="n"/>
      <c r="J15" s="155" t="n"/>
      <c r="K15" s="155" t="n"/>
      <c r="L15" s="77" t="n"/>
      <c r="M15" s="77" t="n"/>
      <c r="N15" s="77" t="n">
        <v>48.79</v>
      </c>
      <c r="O15" s="77" t="n"/>
      <c r="P15" s="77" t="inlineStr">
        <is>
          <t>未磷酸化</t>
        </is>
      </c>
      <c r="Q15" s="77" t="inlineStr">
        <is>
          <t>未环化</t>
        </is>
      </c>
    </row>
    <row r="16" ht="30" customHeight="1" s="80">
      <c r="A16" s="159" t="n"/>
      <c r="B16" s="155" t="inlineStr">
        <is>
          <t>HGC-Lib-26084539</t>
        </is>
      </c>
      <c r="C16" s="155" t="n">
        <v>41.57</v>
      </c>
      <c r="D16" s="156" t="n">
        <v>100</v>
      </c>
      <c r="E16" s="157" t="n">
        <v>8.333</v>
      </c>
      <c r="F16" s="157">
        <f>ROUND(E16/C16*G20,3)</f>
        <v/>
      </c>
      <c r="G16" s="155" t="inlineStr">
        <is>
          <t>10x3′单细胞转录组</t>
        </is>
      </c>
      <c r="H16" s="155" t="inlineStr">
        <is>
          <t>江西烈冰生物科技有限公司</t>
        </is>
      </c>
      <c r="I16" s="157" t="n"/>
      <c r="J16" s="155" t="n"/>
      <c r="K16" s="155" t="n"/>
      <c r="L16" s="77" t="n"/>
      <c r="M16" s="77" t="n"/>
      <c r="N16" s="77" t="n">
        <v>41.57</v>
      </c>
      <c r="O16" s="77" t="n"/>
      <c r="P16" s="77" t="inlineStr">
        <is>
          <t>未磷酸化</t>
        </is>
      </c>
      <c r="Q16" s="77" t="inlineStr">
        <is>
          <t>未环化</t>
        </is>
      </c>
    </row>
    <row r="17" ht="30" customHeight="1" s="80">
      <c r="A17" s="159" t="n"/>
      <c r="B17" s="155" t="inlineStr">
        <is>
          <t>HGC-Lib-26084540</t>
        </is>
      </c>
      <c r="C17" s="155" t="n">
        <v>67.36</v>
      </c>
      <c r="D17" s="156" t="n">
        <v>100</v>
      </c>
      <c r="E17" s="157" t="n">
        <v>8.333</v>
      </c>
      <c r="F17" s="157">
        <f>ROUND(E17/C17*G20,3)</f>
        <v/>
      </c>
      <c r="G17" s="155" t="inlineStr">
        <is>
          <t>10x3′单细胞转录组</t>
        </is>
      </c>
      <c r="H17" s="155" t="inlineStr">
        <is>
          <t>江西烈冰生物科技有限公司</t>
        </is>
      </c>
      <c r="I17" s="157" t="n"/>
      <c r="J17" s="155" t="n"/>
      <c r="K17" s="155" t="n"/>
      <c r="L17" s="77" t="n"/>
      <c r="M17" s="77" t="n"/>
      <c r="N17" s="77" t="n">
        <v>67.36</v>
      </c>
      <c r="O17" s="77" t="n"/>
      <c r="P17" s="77" t="inlineStr">
        <is>
          <t>未磷酸化</t>
        </is>
      </c>
      <c r="Q17" s="77" t="inlineStr">
        <is>
          <t>未环化</t>
        </is>
      </c>
    </row>
    <row r="18" ht="30" customHeight="1" s="80">
      <c r="A18" s="159" t="n"/>
      <c r="B18" s="155" t="inlineStr">
        <is>
          <t>HGC-Lib-26084541</t>
        </is>
      </c>
      <c r="C18" s="155" t="n">
        <v>71.98999999999999</v>
      </c>
      <c r="D18" s="156" t="n">
        <v>100</v>
      </c>
      <c r="E18" s="157" t="n">
        <v>8.333</v>
      </c>
      <c r="F18" s="157">
        <f>ROUND(E18/C18*G20,3)</f>
        <v/>
      </c>
      <c r="G18" s="155" t="inlineStr">
        <is>
          <t>10x3′单细胞转录组</t>
        </is>
      </c>
      <c r="H18" s="155" t="inlineStr">
        <is>
          <t>江西烈冰生物科技有限公司</t>
        </is>
      </c>
      <c r="I18" s="157" t="n"/>
      <c r="J18" s="155" t="n"/>
      <c r="K18" s="155" t="n"/>
      <c r="L18" s="77" t="n"/>
      <c r="M18" s="77" t="n"/>
      <c r="N18" s="77" t="n">
        <v>71.98999999999999</v>
      </c>
      <c r="O18" s="77" t="n"/>
      <c r="P18" s="77" t="inlineStr">
        <is>
          <t>未磷酸化</t>
        </is>
      </c>
      <c r="Q18" s="77" t="inlineStr">
        <is>
          <t>未环化</t>
        </is>
      </c>
    </row>
    <row r="19" ht="30" customHeight="1" s="80">
      <c r="A19" s="160" t="n"/>
      <c r="B19" s="155" t="inlineStr">
        <is>
          <t>HGC-Lib-26084542</t>
        </is>
      </c>
      <c r="C19" s="155" t="n">
        <v>53.99</v>
      </c>
      <c r="D19" s="156" t="n">
        <v>100</v>
      </c>
      <c r="E19" s="157" t="n">
        <v>8.333</v>
      </c>
      <c r="F19" s="157">
        <f>ROUND(E19/C19*G20,3)</f>
        <v/>
      </c>
      <c r="G19" s="155" t="inlineStr">
        <is>
          <t>10x3′单细胞转录组</t>
        </is>
      </c>
      <c r="H19" s="155" t="inlineStr">
        <is>
          <t>江西烈冰生物科技有限公司</t>
        </is>
      </c>
      <c r="I19" s="157" t="n"/>
      <c r="J19" s="155" t="n"/>
      <c r="K19" s="155" t="n"/>
      <c r="L19" s="77" t="n"/>
      <c r="M19" s="77" t="n"/>
      <c r="N19" s="77" t="n">
        <v>53.99</v>
      </c>
      <c r="O19" s="77" t="n"/>
      <c r="P19" s="77" t="inlineStr">
        <is>
          <t>未磷酸化</t>
        </is>
      </c>
      <c r="Q19" s="77" t="inlineStr">
        <is>
          <t>未环化</t>
        </is>
      </c>
    </row>
    <row r="20" ht="30" customHeight="1" s="80">
      <c r="A20" s="78" t="n"/>
      <c r="B20" s="78" t="n"/>
      <c r="C20" s="78" t="n"/>
      <c r="D20" s="86">
        <f>ROUND(SUM(D14:D19),2)</f>
        <v/>
      </c>
      <c r="E20" s="87" t="n">
        <v>49.998</v>
      </c>
      <c r="F20" s="87">
        <f>IF(G20&gt;1,ROUND(SUM(F14:F19)/G20*2,3),ROUND(SUM(F14:F19),3))</f>
        <v/>
      </c>
      <c r="G20" s="77" t="n">
        <v>6</v>
      </c>
      <c r="H20" s="78" t="n"/>
      <c r="I20" s="158">
        <f>ROUND(20-F20,3)</f>
        <v/>
      </c>
      <c r="J20" s="78" t="n"/>
      <c r="K20" s="78" t="n"/>
      <c r="L20" s="78" t="n"/>
      <c r="M20" s="77">
        <f>AVERAGE(M14:M19)</f>
        <v/>
      </c>
      <c r="N20" s="78" t="n"/>
      <c r="O20" s="78" t="n"/>
      <c r="P20" s="78" t="n"/>
      <c r="Q20" s="78" t="n"/>
    </row>
    <row r="21" ht="30" customHeight="1" s="80">
      <c r="A21" s="155" t="inlineStr">
        <is>
          <t>A5</t>
        </is>
      </c>
      <c r="B21" s="155" t="inlineStr">
        <is>
          <t>HGC-Lib-26077806</t>
        </is>
      </c>
      <c r="C21" s="155" t="n">
        <v>12.3</v>
      </c>
      <c r="D21" s="156" t="n">
        <v>150</v>
      </c>
      <c r="E21" s="157" t="n">
        <v>10</v>
      </c>
      <c r="F21" s="157">
        <f>ROUND(E21/C21*G26,3)</f>
        <v/>
      </c>
      <c r="G21" s="155" t="inlineStr">
        <is>
          <t>自建单细胞3`转录组文库</t>
        </is>
      </c>
      <c r="H21" s="155" t="inlineStr">
        <is>
          <t>深圳达普生物科技有限公司</t>
        </is>
      </c>
      <c r="I21" s="157" t="n"/>
      <c r="J21" s="155" t="n"/>
      <c r="K21" s="155" t="n"/>
      <c r="L21" s="77" t="inlineStr">
        <is>
          <t>加测_260626_R21016100250033_ML150009044</t>
        </is>
      </c>
      <c r="M21" s="77" t="n">
        <v>431</v>
      </c>
      <c r="N21" s="77" t="n">
        <v>12.3</v>
      </c>
      <c r="O21" s="77" t="inlineStr">
        <is>
          <t>Illumina Truseq文库</t>
        </is>
      </c>
      <c r="P21" s="77" t="inlineStr">
        <is>
          <t>未磷酸化</t>
        </is>
      </c>
      <c r="Q21" s="77" t="inlineStr">
        <is>
          <t>未环化</t>
        </is>
      </c>
    </row>
    <row r="22" ht="30" customHeight="1" s="80">
      <c r="A22" s="159" t="n"/>
      <c r="B22" s="155" t="inlineStr">
        <is>
          <t>HGC-Lib-26077805</t>
        </is>
      </c>
      <c r="C22" s="155" t="n">
        <v>12.2</v>
      </c>
      <c r="D22" s="156" t="n">
        <v>150</v>
      </c>
      <c r="E22" s="157" t="n">
        <v>10</v>
      </c>
      <c r="F22" s="157">
        <f>ROUND(E22/C22*G26,3)</f>
        <v/>
      </c>
      <c r="G22" s="155" t="inlineStr">
        <is>
          <t>自建单细胞3`转录组文库</t>
        </is>
      </c>
      <c r="H22" s="155" t="inlineStr">
        <is>
          <t>深圳达普生物科技有限公司</t>
        </is>
      </c>
      <c r="I22" s="157" t="n"/>
      <c r="J22" s="155" t="n"/>
      <c r="K22" s="155" t="n"/>
      <c r="L22" s="77" t="inlineStr">
        <is>
          <t>加测_260626_R21016100250033_ML150009044</t>
        </is>
      </c>
      <c r="M22" s="77" t="n">
        <v>428</v>
      </c>
      <c r="N22" s="77" t="n">
        <v>12.2</v>
      </c>
      <c r="O22" s="77" t="inlineStr">
        <is>
          <t>Illumina Truseq文库</t>
        </is>
      </c>
      <c r="P22" s="77" t="inlineStr">
        <is>
          <t>未磷酸化</t>
        </is>
      </c>
      <c r="Q22" s="77" t="inlineStr">
        <is>
          <t>未环化</t>
        </is>
      </c>
    </row>
    <row r="23" ht="30" customHeight="1" s="80">
      <c r="A23" s="159" t="n"/>
      <c r="B23" s="155" t="inlineStr">
        <is>
          <t>HGC-Lib-26077804</t>
        </is>
      </c>
      <c r="C23" s="155" t="n">
        <v>12.9</v>
      </c>
      <c r="D23" s="156" t="n">
        <v>150</v>
      </c>
      <c r="E23" s="157" t="n">
        <v>10</v>
      </c>
      <c r="F23" s="157">
        <f>ROUND(E23/C23*G26,3)</f>
        <v/>
      </c>
      <c r="G23" s="155" t="inlineStr">
        <is>
          <t>自建单细胞3`转录组文库</t>
        </is>
      </c>
      <c r="H23" s="155" t="inlineStr">
        <is>
          <t>深圳达普生物科技有限公司</t>
        </is>
      </c>
      <c r="I23" s="157" t="n"/>
      <c r="J23" s="155" t="n"/>
      <c r="K23" s="155" t="n"/>
      <c r="L23" s="77" t="inlineStr">
        <is>
          <t>加测_260626_R21016100250033_ML150009453</t>
        </is>
      </c>
      <c r="M23" s="77" t="n">
        <v>433</v>
      </c>
      <c r="N23" s="77" t="n">
        <v>12.9</v>
      </c>
      <c r="O23" s="77" t="inlineStr">
        <is>
          <t>Illumina Truseq文库</t>
        </is>
      </c>
      <c r="P23" s="77" t="inlineStr">
        <is>
          <t>未磷酸化</t>
        </is>
      </c>
      <c r="Q23" s="77" t="inlineStr">
        <is>
          <t>未环化</t>
        </is>
      </c>
    </row>
    <row r="24" ht="30" customHeight="1" s="80">
      <c r="A24" s="159" t="n"/>
      <c r="B24" s="155" t="inlineStr">
        <is>
          <t>HGC-Lib-26077801</t>
        </is>
      </c>
      <c r="C24" s="155" t="n">
        <v>10.4</v>
      </c>
      <c r="D24" s="156" t="n">
        <v>150</v>
      </c>
      <c r="E24" s="157" t="n">
        <v>10</v>
      </c>
      <c r="F24" s="157">
        <f>ROUND(E24/C24*G26,3)</f>
        <v/>
      </c>
      <c r="G24" s="155" t="inlineStr">
        <is>
          <t>自建单细胞3`转录组文库</t>
        </is>
      </c>
      <c r="H24" s="155" t="inlineStr">
        <is>
          <t>深圳达普生物科技有限公司</t>
        </is>
      </c>
      <c r="I24" s="157" t="n"/>
      <c r="J24" s="155" t="n"/>
      <c r="K24" s="155" t="n"/>
      <c r="L24" s="77" t="inlineStr">
        <is>
          <t>加测_260626_R21016100250033_ML150009453</t>
        </is>
      </c>
      <c r="M24" s="77" t="n">
        <v>420</v>
      </c>
      <c r="N24" s="77" t="n">
        <v>10.4</v>
      </c>
      <c r="O24" s="77" t="inlineStr">
        <is>
          <t>Illumina Truseq文库</t>
        </is>
      </c>
      <c r="P24" s="77" t="inlineStr">
        <is>
          <t>未磷酸化</t>
        </is>
      </c>
      <c r="Q24" s="77" t="inlineStr">
        <is>
          <t>未环化</t>
        </is>
      </c>
    </row>
    <row r="25" ht="30" customHeight="1" s="80">
      <c r="A25" s="160" t="n"/>
      <c r="B25" s="155" t="inlineStr">
        <is>
          <t>HGC-Lib-26077798</t>
        </is>
      </c>
      <c r="C25" s="155" t="n">
        <v>14</v>
      </c>
      <c r="D25" s="156" t="n">
        <v>150</v>
      </c>
      <c r="E25" s="157" t="n">
        <v>10</v>
      </c>
      <c r="F25" s="157">
        <f>ROUND(E25/C25*G26,3)</f>
        <v/>
      </c>
      <c r="G25" s="155" t="inlineStr">
        <is>
          <t>自建单细胞3`转录组文库</t>
        </is>
      </c>
      <c r="H25" s="155" t="inlineStr">
        <is>
          <t>深圳达普生物科技有限公司</t>
        </is>
      </c>
      <c r="I25" s="157" t="n"/>
      <c r="J25" s="155" t="n"/>
      <c r="K25" s="155" t="n"/>
      <c r="L25" s="77" t="inlineStr">
        <is>
          <t>加测_260626_R21016100250033_ML150009453</t>
        </is>
      </c>
      <c r="M25" s="77" t="n">
        <v>421</v>
      </c>
      <c r="N25" s="77" t="n">
        <v>14</v>
      </c>
      <c r="O25" s="77" t="inlineStr">
        <is>
          <t>Illumina Truseq文库</t>
        </is>
      </c>
      <c r="P25" s="77" t="inlineStr">
        <is>
          <t>未磷酸化</t>
        </is>
      </c>
      <c r="Q25" s="77" t="inlineStr">
        <is>
          <t>未环化</t>
        </is>
      </c>
    </row>
    <row r="26" ht="30" customHeight="1" s="80">
      <c r="A26" s="78" t="n"/>
      <c r="B26" s="78" t="n"/>
      <c r="C26" s="78" t="n"/>
      <c r="D26" s="86">
        <f>ROUND(SUM(D21:D25),2)</f>
        <v/>
      </c>
      <c r="E26" s="87" t="n">
        <v>50</v>
      </c>
      <c r="F26" s="87">
        <f>IF(G26&gt;1,ROUND(SUM(F21:F25)/G26*2,3),ROUND(SUM(F21:F25),3))</f>
        <v/>
      </c>
      <c r="G26" s="77" t="n">
        <v>1</v>
      </c>
      <c r="H26" s="78" t="n"/>
      <c r="I26" s="158">
        <f>ROUND(20-F26,3)</f>
        <v/>
      </c>
      <c r="J26" s="78" t="n"/>
      <c r="K26" s="78" t="n"/>
      <c r="L26" s="78" t="n"/>
      <c r="M26" s="77">
        <f>AVERAGE(M21:M25)</f>
        <v/>
      </c>
      <c r="N26" s="78" t="n"/>
      <c r="O26" s="78" t="n"/>
      <c r="P26" s="78" t="n"/>
      <c r="Q26" s="78" t="n"/>
    </row>
    <row r="27" ht="30" customHeight="1" s="80">
      <c r="A27" s="155" t="inlineStr">
        <is>
          <t>A6</t>
        </is>
      </c>
      <c r="B27" s="155" t="inlineStr">
        <is>
          <t>HGC-Lib-26077796</t>
        </is>
      </c>
      <c r="C27" s="155" t="n">
        <v>20.2</v>
      </c>
      <c r="D27" s="156" t="n">
        <v>150</v>
      </c>
      <c r="E27" s="157" t="n">
        <v>10</v>
      </c>
      <c r="F27" s="157">
        <f>ROUND(E27/C27*G32,3)</f>
        <v/>
      </c>
      <c r="G27" s="155" t="inlineStr">
        <is>
          <t>自建单细胞3`转录组文库</t>
        </is>
      </c>
      <c r="H27" s="155" t="inlineStr">
        <is>
          <t>深圳达普生物科技有限公司</t>
        </is>
      </c>
      <c r="I27" s="157" t="n"/>
      <c r="J27" s="155" t="n"/>
      <c r="K27" s="155" t="n"/>
      <c r="L27" s="77" t="inlineStr">
        <is>
          <t>加测_260627_R21016100250033_ML150009022</t>
        </is>
      </c>
      <c r="M27" s="77" t="n">
        <v>425</v>
      </c>
      <c r="N27" s="77" t="n">
        <v>20.2</v>
      </c>
      <c r="O27" s="77" t="inlineStr">
        <is>
          <t>Illumina Truseq文库</t>
        </is>
      </c>
      <c r="P27" s="77" t="inlineStr">
        <is>
          <t>未磷酸化</t>
        </is>
      </c>
      <c r="Q27" s="77" t="inlineStr">
        <is>
          <t>未环化</t>
        </is>
      </c>
    </row>
    <row r="28" ht="30" customHeight="1" s="80">
      <c r="A28" s="159" t="n"/>
      <c r="B28" s="155" t="inlineStr">
        <is>
          <t>HGC-Lib-26077795</t>
        </is>
      </c>
      <c r="C28" s="155" t="n">
        <v>18</v>
      </c>
      <c r="D28" s="156" t="n">
        <v>150</v>
      </c>
      <c r="E28" s="157" t="n">
        <v>10</v>
      </c>
      <c r="F28" s="157">
        <f>ROUND(E28/C28*G32,3)</f>
        <v/>
      </c>
      <c r="G28" s="155" t="inlineStr">
        <is>
          <t>自建单细胞3`转录组文库</t>
        </is>
      </c>
      <c r="H28" s="155" t="inlineStr">
        <is>
          <t>深圳达普生物科技有限公司</t>
        </is>
      </c>
      <c r="I28" s="157" t="n"/>
      <c r="J28" s="155" t="n"/>
      <c r="K28" s="155" t="n"/>
      <c r="L28" s="77" t="inlineStr">
        <is>
          <t>加测_260627_R21016100250033_ML150009022</t>
        </is>
      </c>
      <c r="M28" s="77" t="n">
        <v>430</v>
      </c>
      <c r="N28" s="77" t="n">
        <v>18</v>
      </c>
      <c r="O28" s="77" t="inlineStr">
        <is>
          <t>Illumina Truseq文库</t>
        </is>
      </c>
      <c r="P28" s="77" t="inlineStr">
        <is>
          <t>未磷酸化</t>
        </is>
      </c>
      <c r="Q28" s="77" t="inlineStr">
        <is>
          <t>未环化</t>
        </is>
      </c>
    </row>
    <row r="29" ht="30" customHeight="1" s="80">
      <c r="A29" s="159" t="n"/>
      <c r="B29" s="155" t="inlineStr">
        <is>
          <t>HGC-Lib-26077807</t>
        </is>
      </c>
      <c r="C29" s="155" t="n">
        <v>10.9</v>
      </c>
      <c r="D29" s="156" t="n">
        <v>150</v>
      </c>
      <c r="E29" s="157" t="n">
        <v>10</v>
      </c>
      <c r="F29" s="157">
        <f>ROUND(E29/C29*G32,3)</f>
        <v/>
      </c>
      <c r="G29" s="155" t="inlineStr">
        <is>
          <t>自建单细胞3`转录组文库</t>
        </is>
      </c>
      <c r="H29" s="155" t="inlineStr">
        <is>
          <t>深圳达普生物科技有限公司</t>
        </is>
      </c>
      <c r="I29" s="157" t="n"/>
      <c r="J29" s="155" t="n"/>
      <c r="K29" s="155" t="n"/>
      <c r="L29" s="77" t="inlineStr">
        <is>
          <t>加测_260629_R21006100250018_E250185048</t>
        </is>
      </c>
      <c r="M29" s="77" t="n">
        <v>423</v>
      </c>
      <c r="N29" s="77" t="n">
        <v>10.9</v>
      </c>
      <c r="O29" s="77" t="inlineStr">
        <is>
          <t>Illumina Truseq文库</t>
        </is>
      </c>
      <c r="P29" s="77" t="inlineStr">
        <is>
          <t>未磷酸化</t>
        </is>
      </c>
      <c r="Q29" s="77" t="inlineStr">
        <is>
          <t>未环化</t>
        </is>
      </c>
    </row>
    <row r="30" ht="30" customHeight="1" s="80">
      <c r="A30" s="159" t="n"/>
      <c r="B30" s="155" t="inlineStr">
        <is>
          <t>HGC-Lib-26077803</t>
        </is>
      </c>
      <c r="C30" s="155" t="n">
        <v>7.98</v>
      </c>
      <c r="D30" s="156" t="n">
        <v>150</v>
      </c>
      <c r="E30" s="157" t="n">
        <v>10</v>
      </c>
      <c r="F30" s="157">
        <f>ROUND(E30/C30*G32,3)</f>
        <v/>
      </c>
      <c r="G30" s="155" t="inlineStr">
        <is>
          <t>自建单细胞3`转录组文库</t>
        </is>
      </c>
      <c r="H30" s="155" t="inlineStr">
        <is>
          <t>深圳达普生物科技有限公司</t>
        </is>
      </c>
      <c r="I30" s="157" t="n"/>
      <c r="J30" s="155" t="n"/>
      <c r="K30" s="155" t="n"/>
      <c r="L30" s="77" t="inlineStr">
        <is>
          <t>加测_260629_R21006100250018_E250185048</t>
        </is>
      </c>
      <c r="M30" s="77" t="n">
        <v>442</v>
      </c>
      <c r="N30" s="77" t="n">
        <v>7.98</v>
      </c>
      <c r="O30" s="77" t="inlineStr">
        <is>
          <t>Illumina Truseq文库</t>
        </is>
      </c>
      <c r="P30" s="77" t="inlineStr">
        <is>
          <t>未磷酸化</t>
        </is>
      </c>
      <c r="Q30" s="77" t="inlineStr">
        <is>
          <t>未环化</t>
        </is>
      </c>
    </row>
    <row r="31" ht="30" customHeight="1" s="80">
      <c r="A31" s="160" t="n"/>
      <c r="B31" s="155" t="inlineStr">
        <is>
          <t>HGC-Lib-26077802</t>
        </is>
      </c>
      <c r="C31" s="155" t="n">
        <v>11.8</v>
      </c>
      <c r="D31" s="156" t="n">
        <v>150</v>
      </c>
      <c r="E31" s="157" t="n">
        <v>10</v>
      </c>
      <c r="F31" s="157">
        <f>ROUND(E31/C31*G32,3)</f>
        <v/>
      </c>
      <c r="G31" s="155" t="inlineStr">
        <is>
          <t>自建单细胞3`转录组文库</t>
        </is>
      </c>
      <c r="H31" s="155" t="inlineStr">
        <is>
          <t>深圳达普生物科技有限公司</t>
        </is>
      </c>
      <c r="I31" s="157" t="n"/>
      <c r="J31" s="155" t="n"/>
      <c r="K31" s="155" t="n"/>
      <c r="L31" s="77" t="inlineStr">
        <is>
          <t>加测_260629_R21006100250018_E250185048</t>
        </is>
      </c>
      <c r="M31" s="77" t="n">
        <v>433</v>
      </c>
      <c r="N31" s="77" t="n">
        <v>11.8</v>
      </c>
      <c r="O31" s="77" t="inlineStr">
        <is>
          <t>Illumina Truseq文库</t>
        </is>
      </c>
      <c r="P31" s="77" t="inlineStr">
        <is>
          <t>未磷酸化</t>
        </is>
      </c>
      <c r="Q31" s="77" t="inlineStr">
        <is>
          <t>未环化</t>
        </is>
      </c>
    </row>
    <row r="32" ht="30" customHeight="1" s="80">
      <c r="A32" s="78" t="n"/>
      <c r="B32" s="78" t="n"/>
      <c r="C32" s="78" t="n"/>
      <c r="D32" s="86">
        <f>ROUND(SUM(D27:D31),2)</f>
        <v/>
      </c>
      <c r="E32" s="87" t="n">
        <v>50</v>
      </c>
      <c r="F32" s="87">
        <f>IF(G32&gt;1,ROUND(SUM(F27:F31)/G32*2,3),ROUND(SUM(F27:F31),3))</f>
        <v/>
      </c>
      <c r="G32" s="77" t="n">
        <v>1</v>
      </c>
      <c r="H32" s="78" t="n"/>
      <c r="I32" s="158">
        <f>ROUND(20-F32,3)</f>
        <v/>
      </c>
      <c r="J32" s="78" t="n"/>
      <c r="K32" s="78" t="n"/>
      <c r="L32" s="78" t="n"/>
      <c r="M32" s="77">
        <f>AVERAGE(M27:M31)</f>
        <v/>
      </c>
      <c r="N32" s="78" t="n"/>
      <c r="O32" s="78" t="n"/>
      <c r="P32" s="78" t="n"/>
      <c r="Q32" s="78" t="n"/>
    </row>
    <row r="33" ht="30" customHeight="1" s="80">
      <c r="A33" s="155" t="inlineStr">
        <is>
          <t>A7</t>
        </is>
      </c>
      <c r="B33" s="155" t="inlineStr">
        <is>
          <t>HGC-Lib-26077800</t>
        </is>
      </c>
      <c r="C33" s="155" t="n">
        <v>10.1</v>
      </c>
      <c r="D33" s="156" t="n">
        <v>150</v>
      </c>
      <c r="E33" s="157" t="n">
        <v>10</v>
      </c>
      <c r="F33" s="157">
        <f>ROUND(E33/C33*G38,3)</f>
        <v/>
      </c>
      <c r="G33" s="155" t="inlineStr">
        <is>
          <t>自建单细胞3`转录组文库</t>
        </is>
      </c>
      <c r="H33" s="155" t="inlineStr">
        <is>
          <t>深圳达普生物科技有限公司</t>
        </is>
      </c>
      <c r="I33" s="157" t="n"/>
      <c r="J33" s="155" t="n"/>
      <c r="K33" s="155" t="n"/>
      <c r="L33" s="77" t="inlineStr">
        <is>
          <t>加测_260629_R21006100250018_E250185048</t>
        </is>
      </c>
      <c r="M33" s="77" t="n">
        <v>419</v>
      </c>
      <c r="N33" s="77" t="n">
        <v>10.1</v>
      </c>
      <c r="O33" s="77" t="inlineStr">
        <is>
          <t>Illumina Truseq文库</t>
        </is>
      </c>
      <c r="P33" s="77" t="inlineStr">
        <is>
          <t>未磷酸化</t>
        </is>
      </c>
      <c r="Q33" s="77" t="inlineStr">
        <is>
          <t>未环化</t>
        </is>
      </c>
    </row>
    <row r="34" ht="30" customHeight="1" s="80">
      <c r="A34" s="159" t="n"/>
      <c r="B34" s="155" t="inlineStr">
        <is>
          <t>HGC-Lib-26077797</t>
        </is>
      </c>
      <c r="C34" s="155" t="n">
        <v>13.2</v>
      </c>
      <c r="D34" s="156" t="n">
        <v>150</v>
      </c>
      <c r="E34" s="157" t="n">
        <v>10</v>
      </c>
      <c r="F34" s="157">
        <f>ROUND(E34/C34*G38,3)</f>
        <v/>
      </c>
      <c r="G34" s="155" t="inlineStr">
        <is>
          <t>自建单细胞3`转录组文库</t>
        </is>
      </c>
      <c r="H34" s="155" t="inlineStr">
        <is>
          <t>深圳达普生物科技有限公司</t>
        </is>
      </c>
      <c r="I34" s="157" t="n"/>
      <c r="J34" s="155" t="n"/>
      <c r="K34" s="155" t="n"/>
      <c r="L34" s="77" t="inlineStr">
        <is>
          <t>加测_260629_R21006100250018_E250185048</t>
        </is>
      </c>
      <c r="M34" s="77" t="n">
        <v>427</v>
      </c>
      <c r="N34" s="77" t="n">
        <v>13.2</v>
      </c>
      <c r="O34" s="77" t="inlineStr">
        <is>
          <t>Illumina Truseq文库</t>
        </is>
      </c>
      <c r="P34" s="77" t="inlineStr">
        <is>
          <t>未磷酸化</t>
        </is>
      </c>
      <c r="Q34" s="77" t="inlineStr">
        <is>
          <t>未环化</t>
        </is>
      </c>
    </row>
    <row r="35" ht="30" customHeight="1" s="80">
      <c r="A35" s="159" t="n"/>
      <c r="B35" s="155" t="inlineStr">
        <is>
          <t>HGC-Lib-26077808</t>
        </is>
      </c>
      <c r="C35" s="155" t="n">
        <v>11.3</v>
      </c>
      <c r="D35" s="156" t="n">
        <v>150</v>
      </c>
      <c r="E35" s="157" t="n">
        <v>10</v>
      </c>
      <c r="F35" s="157">
        <f>ROUND(E35/C35*G38,3)</f>
        <v/>
      </c>
      <c r="G35" s="155" t="inlineStr">
        <is>
          <t>自建单细胞3`转录组文库</t>
        </is>
      </c>
      <c r="H35" s="155" t="inlineStr">
        <is>
          <t>深圳达普生物科技有限公司</t>
        </is>
      </c>
      <c r="I35" s="157" t="n"/>
      <c r="J35" s="155" t="n"/>
      <c r="K35" s="155" t="n"/>
      <c r="L35" s="77" t="inlineStr">
        <is>
          <t>加测_260629_R21016100250033_ML150009054</t>
        </is>
      </c>
      <c r="M35" s="77" t="n">
        <v>431</v>
      </c>
      <c r="N35" s="77" t="n">
        <v>11.3</v>
      </c>
      <c r="O35" s="77" t="inlineStr">
        <is>
          <t>Illumina Truseq文库</t>
        </is>
      </c>
      <c r="P35" s="77" t="inlineStr">
        <is>
          <t>未磷酸化</t>
        </is>
      </c>
      <c r="Q35" s="77" t="inlineStr">
        <is>
          <t>未环化</t>
        </is>
      </c>
    </row>
    <row r="36" ht="30" customHeight="1" s="80">
      <c r="A36" s="159" t="n"/>
      <c r="B36" s="155" t="inlineStr">
        <is>
          <t>HGC-Lib-26077799</t>
        </is>
      </c>
      <c r="C36" s="155" t="n">
        <v>7.24</v>
      </c>
      <c r="D36" s="156" t="n">
        <v>150</v>
      </c>
      <c r="E36" s="157" t="n">
        <v>10</v>
      </c>
      <c r="F36" s="157">
        <f>ROUND(E36/C36*G38,3)</f>
        <v/>
      </c>
      <c r="G36" s="155" t="inlineStr">
        <is>
          <t>自建单细胞3`转录组文库</t>
        </is>
      </c>
      <c r="H36" s="155" t="inlineStr">
        <is>
          <t>深圳达普生物科技有限公司</t>
        </is>
      </c>
      <c r="I36" s="157" t="n"/>
      <c r="J36" s="155" t="n"/>
      <c r="K36" s="155" t="n"/>
      <c r="L36" s="77" t="inlineStr">
        <is>
          <t>加测_260707_R21016100250033_ML150009047</t>
        </is>
      </c>
      <c r="M36" s="77" t="n">
        <v>429</v>
      </c>
      <c r="N36" s="77" t="n">
        <v>7.24</v>
      </c>
      <c r="O36" s="77" t="inlineStr">
        <is>
          <t>Illumina Truseq文库</t>
        </is>
      </c>
      <c r="P36" s="77" t="inlineStr">
        <is>
          <t>未磷酸化</t>
        </is>
      </c>
      <c r="Q36" s="77" t="inlineStr">
        <is>
          <t>未环化</t>
        </is>
      </c>
    </row>
    <row r="37" ht="30" customHeight="1" s="80">
      <c r="A37" s="160" t="n"/>
      <c r="B37" s="155" t="inlineStr">
        <is>
          <t>HGC-Lib-26077057</t>
        </is>
      </c>
      <c r="C37" s="155" t="n">
        <v>17.19</v>
      </c>
      <c r="D37" s="156" t="n">
        <v>150</v>
      </c>
      <c r="E37" s="157" t="n">
        <v>10</v>
      </c>
      <c r="F37" s="157">
        <f>ROUND(E37/C37*G38,3)</f>
        <v/>
      </c>
      <c r="G37" s="155" t="inlineStr">
        <is>
          <t>自建单细胞3`转录组文库</t>
        </is>
      </c>
      <c r="H37" s="155" t="inlineStr">
        <is>
          <t>深圳达普生物科技有限公司</t>
        </is>
      </c>
      <c r="I37" s="157" t="n"/>
      <c r="J37" s="155" t="n"/>
      <c r="K37" s="155" t="n"/>
      <c r="L37" s="77" t="inlineStr">
        <is>
          <t>加测_260623_R21016100250033_ML150006279</t>
        </is>
      </c>
      <c r="M37" s="77" t="n">
        <v>415</v>
      </c>
      <c r="N37" s="77" t="n">
        <v>17.19</v>
      </c>
      <c r="O37" s="77" t="inlineStr">
        <is>
          <t>Illumina Truseq文库</t>
        </is>
      </c>
      <c r="P37" s="77" t="inlineStr">
        <is>
          <t>未磷酸化</t>
        </is>
      </c>
      <c r="Q37" s="77" t="inlineStr">
        <is>
          <t>未环化</t>
        </is>
      </c>
    </row>
    <row r="38" ht="30" customHeight="1" s="80">
      <c r="A38" s="78" t="n"/>
      <c r="B38" s="78" t="n"/>
      <c r="C38" s="78" t="n"/>
      <c r="D38" s="86">
        <f>ROUND(SUM(D33:D37),2)</f>
        <v/>
      </c>
      <c r="E38" s="87" t="n">
        <v>50</v>
      </c>
      <c r="F38" s="87">
        <f>IF(G38&gt;1,ROUND(SUM(F33:F37)/G38*2,3),ROUND(SUM(F33:F37),3))</f>
        <v/>
      </c>
      <c r="G38" s="77" t="n">
        <v>1</v>
      </c>
      <c r="H38" s="78" t="n"/>
      <c r="I38" s="158">
        <f>ROUND(20-F38,3)</f>
        <v/>
      </c>
      <c r="J38" s="78" t="n"/>
      <c r="K38" s="78" t="n"/>
      <c r="L38" s="78" t="n"/>
      <c r="M38" s="77">
        <f>AVERAGE(M33:M37)</f>
        <v/>
      </c>
      <c r="N38" s="78" t="n"/>
      <c r="O38" s="78" t="n"/>
      <c r="P38" s="78" t="n"/>
      <c r="Q38" s="78" t="n"/>
    </row>
    <row r="39" ht="23.25" customHeight="1" s="80"/>
    <row r="40" ht="23.25" customHeight="1" s="80"/>
    <row r="41" ht="23.25" customHeight="1" s="80"/>
    <row r="42" ht="23.25" customHeight="1" s="80"/>
    <row r="43" ht="23.25" customHeight="1" s="80"/>
    <row r="44" ht="23.25" customHeight="1" s="80"/>
  </sheetData>
  <mergeCells count="5">
    <mergeCell ref="A21:A25"/>
    <mergeCell ref="A27:A31"/>
    <mergeCell ref="A33:A37"/>
    <mergeCell ref="A6:A12"/>
    <mergeCell ref="A14:A19"/>
  </mergeCells>
  <conditionalFormatting sqref="A1">
    <cfRule type="duplicateValues" priority="8" dxfId="0"/>
  </conditionalFormatting>
  <conditionalFormatting sqref="B1">
    <cfRule type="duplicateValues" priority="7" dxfId="0"/>
    <cfRule type="duplicateValues" priority="9" dxfId="0"/>
  </conditionalFormatting>
  <conditionalFormatting sqref="B2:B1048576">
    <cfRule type="duplicateValues" priority="10" dxfId="0"/>
  </conditionalFormatting>
  <pageMargins left="0.75" right="0.75" top="1" bottom="1" header="0.5" footer="0.5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59"/>
  <sheetViews>
    <sheetView topLeftCell="A241" zoomScale="85" zoomScaleNormal="85" workbookViewId="0">
      <selection activeCell="M9" sqref="M9"/>
    </sheetView>
  </sheetViews>
  <sheetFormatPr baseColWidth="8" defaultColWidth="8.75" defaultRowHeight="30" customHeight="1"/>
  <cols>
    <col width="12" customWidth="1" style="27" min="1" max="1"/>
    <col width="21" customWidth="1" style="27" min="2" max="2"/>
    <col width="22" customWidth="1" style="96" min="3" max="3"/>
    <col width="28" customWidth="1" style="96" min="4" max="4"/>
    <col width="22" customWidth="1" style="97" min="5" max="5"/>
    <col width="60" customWidth="1" style="98" min="6" max="6"/>
    <col width="26" customWidth="1" style="27" min="7" max="7"/>
    <col width="34" customWidth="1" style="27" min="8" max="8"/>
    <col width="27" customWidth="1" style="96" min="9" max="9"/>
    <col width="8" customWidth="1" style="99" min="10" max="10"/>
    <col width="23" customWidth="1" style="99" min="11" max="11"/>
    <col width="43" customWidth="1" style="99" min="12" max="12"/>
    <col width="23" customWidth="1" style="27" min="13" max="13"/>
    <col width="22" customWidth="1" style="27" min="14" max="14"/>
    <col width="23" customWidth="1" style="27" min="15" max="15"/>
    <col width="12" customWidth="1" style="27" min="16" max="16"/>
    <col width="10" customWidth="1" style="27" min="17" max="17"/>
    <col width="17.25" customWidth="1" style="27" min="18" max="18"/>
    <col width="8.75" customWidth="1" style="27" min="19" max="21"/>
    <col width="9.125" customWidth="1" style="27" min="22" max="22"/>
    <col width="8.75" customWidth="1" style="27" min="23" max="27"/>
    <col width="8.75" customWidth="1" style="27" min="28" max="16384"/>
  </cols>
  <sheetData>
    <row r="1" ht="90" customFormat="1" customHeight="1" s="26">
      <c r="A1" s="61" t="inlineStr">
        <is>
          <t>Lane编号</t>
        </is>
      </c>
      <c r="B1" s="33" t="inlineStr">
        <is>
          <t>文库编号</t>
        </is>
      </c>
      <c r="C1" s="100" t="inlineStr">
        <is>
          <t>Qubit浓度（ng/ul）</t>
        </is>
      </c>
      <c r="D1" s="100" t="inlineStr">
        <is>
          <t>数据量（G)</t>
        </is>
      </c>
      <c r="E1" s="101" t="inlineStr">
        <is>
          <t>文库摩尔质量（nM）</t>
        </is>
      </c>
      <c r="F1" s="102" t="inlineStr">
        <is>
          <t>最终取样体积（ul）</t>
        </is>
      </c>
      <c r="G1" s="33" t="inlineStr">
        <is>
          <t>文库类型</t>
        </is>
      </c>
      <c r="H1" s="103" t="inlineStr">
        <is>
          <t>客户单位</t>
        </is>
      </c>
      <c r="I1" s="104" t="inlineStr">
        <is>
          <t>TE Buffer补充体积（uL）</t>
        </is>
      </c>
      <c r="J1" s="105" t="inlineStr">
        <is>
          <t>孔号</t>
        </is>
      </c>
      <c r="K1" s="105" t="inlineStr">
        <is>
          <t>板号</t>
        </is>
      </c>
      <c r="L1" s="105" t="inlineStr">
        <is>
          <t>备注</t>
        </is>
      </c>
      <c r="M1" s="63" t="inlineStr">
        <is>
          <t>片段</t>
        </is>
      </c>
      <c r="N1" s="63" t="inlineStr">
        <is>
          <t>Qubit浓度（ng/ul）</t>
        </is>
      </c>
      <c r="O1" s="63" t="inlineStr">
        <is>
          <t>文库结构</t>
        </is>
      </c>
      <c r="P1" s="63" t="inlineStr">
        <is>
          <t>磷酸化*</t>
        </is>
      </c>
      <c r="Q1" s="63" t="inlineStr">
        <is>
          <t>环化*</t>
        </is>
      </c>
    </row>
    <row r="2" ht="30" customHeight="1" s="80">
      <c r="A2" s="155" t="inlineStr">
        <is>
          <t>B1</t>
        </is>
      </c>
      <c r="B2" s="155" t="inlineStr">
        <is>
          <t>HGC-Lib-26082508</t>
        </is>
      </c>
      <c r="C2" s="155" t="n">
        <v>39.12</v>
      </c>
      <c r="D2" s="156" t="n">
        <v>1</v>
      </c>
      <c r="E2" s="157" t="n">
        <v>25</v>
      </c>
      <c r="F2" s="157">
        <f>ROUND(E2/C2*G4,3)</f>
        <v/>
      </c>
      <c r="G2" s="155" t="inlineStr">
        <is>
          <t>有参转录组（RNA-seq）</t>
        </is>
      </c>
      <c r="H2" s="155" t="inlineStr">
        <is>
          <t>广州奥智生物科技有限公司</t>
        </is>
      </c>
      <c r="I2" s="157" t="n"/>
      <c r="J2" s="155" t="n"/>
      <c r="K2" s="155" t="inlineStr">
        <is>
          <t>26.7.1-3-白-BGI_B10</t>
        </is>
      </c>
      <c r="L2" s="77" t="inlineStr">
        <is>
          <t>加测_260707_R21016100250033_ML150009047</t>
        </is>
      </c>
      <c r="M2" s="77" t="n"/>
      <c r="N2" s="77" t="n">
        <v>39.12</v>
      </c>
      <c r="O2" s="77" t="inlineStr">
        <is>
          <t>Illumina Truseq文库</t>
        </is>
      </c>
      <c r="P2" s="77" t="inlineStr">
        <is>
          <t>未磷酸化</t>
        </is>
      </c>
      <c r="Q2" s="77" t="inlineStr">
        <is>
          <t>未环化</t>
        </is>
      </c>
    </row>
    <row r="3" ht="30" customHeight="1" s="80">
      <c r="A3" s="160" t="n"/>
      <c r="B3" s="155" t="inlineStr">
        <is>
          <t>HGC-Lib-26082520</t>
        </is>
      </c>
      <c r="C3" s="155" t="n">
        <v>67.66</v>
      </c>
      <c r="D3" s="156" t="n">
        <v>1</v>
      </c>
      <c r="E3" s="157" t="n">
        <v>25</v>
      </c>
      <c r="F3" s="157">
        <f>ROUND(E3/C3*G4,3)</f>
        <v/>
      </c>
      <c r="G3" s="155" t="inlineStr">
        <is>
          <t>有参转录组（RNA-seq）</t>
        </is>
      </c>
      <c r="H3" s="155" t="inlineStr">
        <is>
          <t>广州奥智生物科技有限公司</t>
        </is>
      </c>
      <c r="I3" s="157" t="n"/>
      <c r="J3" s="155" t="n"/>
      <c r="K3" s="155" t="inlineStr">
        <is>
          <t>26.7.1-3-白-BGI_C10</t>
        </is>
      </c>
      <c r="L3" s="77" t="inlineStr">
        <is>
          <t>加测_260707_R21016100250033_ML150009047</t>
        </is>
      </c>
      <c r="M3" s="77" t="n"/>
      <c r="N3" s="77" t="n">
        <v>67.66</v>
      </c>
      <c r="O3" s="77" t="inlineStr">
        <is>
          <t>Illumina Truseq文库</t>
        </is>
      </c>
      <c r="P3" s="77" t="inlineStr">
        <is>
          <t>未磷酸化</t>
        </is>
      </c>
      <c r="Q3" s="77" t="inlineStr">
        <is>
          <t>未环化</t>
        </is>
      </c>
    </row>
    <row r="4" ht="30" customHeight="1" s="80">
      <c r="A4" s="78" t="n"/>
      <c r="B4" s="78" t="n"/>
      <c r="C4" s="78" t="n"/>
      <c r="D4" s="86">
        <f>ROUND(SUM(D2:D3),2)</f>
        <v/>
      </c>
      <c r="E4" s="87" t="n">
        <v>50</v>
      </c>
      <c r="F4" s="87">
        <f>IF(G4&gt;1,ROUND(SUM(F2:F3)/G4*2,3),ROUND(SUM(F2:F3),3))</f>
        <v/>
      </c>
      <c r="G4" s="77" t="n">
        <v>1</v>
      </c>
      <c r="H4" s="78" t="n"/>
      <c r="I4" s="158">
        <f>ROUND(20-F4,3)</f>
        <v/>
      </c>
      <c r="J4" s="78" t="n"/>
      <c r="K4" s="78" t="n"/>
      <c r="L4" s="78" t="n"/>
      <c r="M4" s="77">
        <f>AVERAGE(M2:M3)</f>
        <v/>
      </c>
      <c r="N4" s="78" t="n"/>
      <c r="O4" s="78" t="n"/>
      <c r="P4" s="78" t="n"/>
      <c r="Q4" s="78" t="n"/>
    </row>
    <row r="5" ht="30" customHeight="1" s="80">
      <c r="A5" s="155" t="inlineStr">
        <is>
          <t>B2</t>
        </is>
      </c>
      <c r="B5" s="155" t="inlineStr">
        <is>
          <t>HGC-Lib-26078526</t>
        </is>
      </c>
      <c r="C5" s="155" t="n">
        <v>23.16</v>
      </c>
      <c r="D5" s="156" t="n">
        <v>50</v>
      </c>
      <c r="E5" s="157" t="n">
        <v>4.288</v>
      </c>
      <c r="F5" s="157">
        <f>ROUND(E5/C5*G13,3)</f>
        <v/>
      </c>
      <c r="G5" s="155" t="inlineStr">
        <is>
          <t>singleron-3'转录组文库</t>
        </is>
      </c>
      <c r="H5" s="155" t="inlineStr">
        <is>
          <t>南京通元医学检验实验室有限公司</t>
        </is>
      </c>
      <c r="I5" s="157" t="n"/>
      <c r="J5" s="155" t="n"/>
      <c r="K5" s="155" t="n"/>
      <c r="L5" s="77" t="inlineStr">
        <is>
          <t>加测_260625_R21016100250033_ML150009021</t>
        </is>
      </c>
      <c r="M5" s="77" t="n"/>
      <c r="N5" s="77" t="n">
        <v>23.16</v>
      </c>
      <c r="O5" s="77" t="n"/>
      <c r="P5" s="77" t="inlineStr">
        <is>
          <t>未磷酸化</t>
        </is>
      </c>
      <c r="Q5" s="77" t="inlineStr">
        <is>
          <t>未环化</t>
        </is>
      </c>
    </row>
    <row r="6" ht="30" customHeight="1" s="80">
      <c r="A6" s="159" t="n"/>
      <c r="B6" s="155" t="inlineStr">
        <is>
          <t>HGC-Lib-26079770</t>
        </is>
      </c>
      <c r="C6" s="155" t="n">
        <v>18.49</v>
      </c>
      <c r="D6" s="156" t="n">
        <v>23</v>
      </c>
      <c r="E6" s="157" t="n">
        <v>1.973</v>
      </c>
      <c r="F6" s="157">
        <f>ROUND(E6/C6*G13,3)</f>
        <v/>
      </c>
      <c r="G6" s="155" t="inlineStr">
        <is>
          <t>singleron-3'转录组文库</t>
        </is>
      </c>
      <c r="H6" s="155" t="inlineStr">
        <is>
          <t>南京通元医学检验实验室有限公司</t>
        </is>
      </c>
      <c r="I6" s="157" t="n"/>
      <c r="J6" s="155" t="n"/>
      <c r="K6" s="155" t="n"/>
      <c r="L6" s="77" t="inlineStr">
        <is>
          <t>补测_260707_R21016100250033_ML150009047</t>
        </is>
      </c>
      <c r="M6" s="77" t="n"/>
      <c r="N6" s="77" t="n">
        <v>18.49</v>
      </c>
      <c r="O6" s="77" t="n"/>
      <c r="P6" s="77" t="inlineStr">
        <is>
          <t>未磷酸化</t>
        </is>
      </c>
      <c r="Q6" s="77" t="inlineStr">
        <is>
          <t>未环化</t>
        </is>
      </c>
    </row>
    <row r="7" ht="30" customHeight="1" s="80">
      <c r="A7" s="159" t="n"/>
      <c r="B7" s="155" t="inlineStr">
        <is>
          <t>HGC-Lib-26084917</t>
        </is>
      </c>
      <c r="C7" s="155" t="n">
        <v>10.85</v>
      </c>
      <c r="D7" s="156" t="n">
        <v>10</v>
      </c>
      <c r="E7" s="157" t="n">
        <v>0.858</v>
      </c>
      <c r="F7" s="157">
        <f>ROUND(E7/C7*G13,3)</f>
        <v/>
      </c>
      <c r="G7" s="155" t="inlineStr">
        <is>
          <t>singleron-3'转录组文库</t>
        </is>
      </c>
      <c r="H7" s="155" t="inlineStr">
        <is>
          <t>南京通元医学检验实验室有限公司</t>
        </is>
      </c>
      <c r="I7" s="157" t="n"/>
      <c r="J7" s="155" t="n"/>
      <c r="K7" s="155" t="n"/>
      <c r="L7" s="77" t="inlineStr">
        <is>
          <t>超级加急</t>
        </is>
      </c>
      <c r="M7" s="77" t="n"/>
      <c r="N7" s="77" t="n">
        <v>10.85</v>
      </c>
      <c r="O7" s="77" t="n"/>
      <c r="P7" s="77" t="inlineStr">
        <is>
          <t>未磷酸化</t>
        </is>
      </c>
      <c r="Q7" s="77" t="inlineStr">
        <is>
          <t>未环化</t>
        </is>
      </c>
    </row>
    <row r="8" ht="30" customHeight="1" s="80">
      <c r="A8" s="159" t="n"/>
      <c r="B8" s="155" t="inlineStr">
        <is>
          <t>HGC-Lib-26084920</t>
        </is>
      </c>
      <c r="C8" s="155" t="n">
        <v>21.87</v>
      </c>
      <c r="D8" s="156" t="n">
        <v>100</v>
      </c>
      <c r="E8" s="157" t="n">
        <v>8.576000000000001</v>
      </c>
      <c r="F8" s="157">
        <f>ROUND(E8/C8*G13,3)</f>
        <v/>
      </c>
      <c r="G8" s="155" t="inlineStr">
        <is>
          <t>singleron-3'转录组文库</t>
        </is>
      </c>
      <c r="H8" s="155" t="inlineStr">
        <is>
          <t>南京通元医学检验实验室有限公司</t>
        </is>
      </c>
      <c r="I8" s="157" t="n"/>
      <c r="J8" s="155" t="n"/>
      <c r="K8" s="155" t="n"/>
      <c r="L8" s="77" t="n"/>
      <c r="M8" s="77" t="n"/>
      <c r="N8" s="77" t="n">
        <v>21.87</v>
      </c>
      <c r="O8" s="77" t="n"/>
      <c r="P8" s="77" t="inlineStr">
        <is>
          <t>未磷酸化</t>
        </is>
      </c>
      <c r="Q8" s="77" t="inlineStr">
        <is>
          <t>未环化</t>
        </is>
      </c>
    </row>
    <row r="9" ht="30" customHeight="1" s="80">
      <c r="A9" s="159" t="n"/>
      <c r="B9" s="155" t="inlineStr">
        <is>
          <t>HGC-Lib-26084921</t>
        </is>
      </c>
      <c r="C9" s="155" t="n">
        <v>26.56</v>
      </c>
      <c r="D9" s="156" t="n">
        <v>100</v>
      </c>
      <c r="E9" s="157" t="n">
        <v>8.576000000000001</v>
      </c>
      <c r="F9" s="157">
        <f>ROUND(E9/C9*G13,3)</f>
        <v/>
      </c>
      <c r="G9" s="155" t="inlineStr">
        <is>
          <t>singleron-3'转录组文库</t>
        </is>
      </c>
      <c r="H9" s="155" t="inlineStr">
        <is>
          <t>南京通元医学检验实验室有限公司</t>
        </is>
      </c>
      <c r="I9" s="157" t="n"/>
      <c r="J9" s="155" t="n"/>
      <c r="K9" s="155" t="n"/>
      <c r="L9" s="77" t="n"/>
      <c r="M9" s="77" t="n"/>
      <c r="N9" s="77" t="n">
        <v>26.56</v>
      </c>
      <c r="O9" s="77" t="n"/>
      <c r="P9" s="77" t="inlineStr">
        <is>
          <t>未磷酸化</t>
        </is>
      </c>
      <c r="Q9" s="77" t="inlineStr">
        <is>
          <t>未环化</t>
        </is>
      </c>
    </row>
    <row r="10" ht="30" customHeight="1" s="80">
      <c r="A10" s="159" t="n"/>
      <c r="B10" s="155" t="inlineStr">
        <is>
          <t>HGC-Lib-26084922</t>
        </is>
      </c>
      <c r="C10" s="155" t="n">
        <v>23.79</v>
      </c>
      <c r="D10" s="156" t="n">
        <v>100</v>
      </c>
      <c r="E10" s="157" t="n">
        <v>8.576000000000001</v>
      </c>
      <c r="F10" s="157">
        <f>ROUND(E10/C10*G13,3)</f>
        <v/>
      </c>
      <c r="G10" s="155" t="inlineStr">
        <is>
          <t>singleron-3'转录组文库</t>
        </is>
      </c>
      <c r="H10" s="155" t="inlineStr">
        <is>
          <t>南京通元医学检验实验室有限公司</t>
        </is>
      </c>
      <c r="I10" s="157" t="n"/>
      <c r="J10" s="155" t="n"/>
      <c r="K10" s="155" t="n"/>
      <c r="L10" s="77" t="n"/>
      <c r="M10" s="77" t="n"/>
      <c r="N10" s="77" t="n">
        <v>23.79</v>
      </c>
      <c r="O10" s="77" t="n"/>
      <c r="P10" s="77" t="inlineStr">
        <is>
          <t>未磷酸化</t>
        </is>
      </c>
      <c r="Q10" s="77" t="inlineStr">
        <is>
          <t>未环化</t>
        </is>
      </c>
    </row>
    <row r="11" ht="30" customHeight="1" s="80">
      <c r="A11" s="159" t="n"/>
      <c r="B11" s="155" t="inlineStr">
        <is>
          <t>HGC-Lib-26084923</t>
        </is>
      </c>
      <c r="C11" s="155" t="n">
        <v>24.56</v>
      </c>
      <c r="D11" s="156" t="n">
        <v>100</v>
      </c>
      <c r="E11" s="157" t="n">
        <v>8.576000000000001</v>
      </c>
      <c r="F11" s="157">
        <f>ROUND(E11/C11*G13,3)</f>
        <v/>
      </c>
      <c r="G11" s="155" t="inlineStr">
        <is>
          <t>singleron-3'转录组文库</t>
        </is>
      </c>
      <c r="H11" s="155" t="inlineStr">
        <is>
          <t>南京通元医学检验实验室有限公司</t>
        </is>
      </c>
      <c r="I11" s="157" t="n"/>
      <c r="J11" s="155" t="n"/>
      <c r="K11" s="155" t="n"/>
      <c r="L11" s="77" t="n"/>
      <c r="M11" s="77" t="n"/>
      <c r="N11" s="77" t="n">
        <v>24.56</v>
      </c>
      <c r="O11" s="77" t="n"/>
      <c r="P11" s="77" t="inlineStr">
        <is>
          <t>未磷酸化</t>
        </is>
      </c>
      <c r="Q11" s="77" t="inlineStr">
        <is>
          <t>未环化</t>
        </is>
      </c>
    </row>
    <row r="12" ht="30" customHeight="1" s="80">
      <c r="A12" s="160" t="n"/>
      <c r="B12" s="155" t="inlineStr">
        <is>
          <t>HGC-Lib-26084924</t>
        </is>
      </c>
      <c r="C12" s="155" t="n">
        <v>23.45</v>
      </c>
      <c r="D12" s="156" t="n">
        <v>100</v>
      </c>
      <c r="E12" s="157" t="n">
        <v>8.576000000000001</v>
      </c>
      <c r="F12" s="157">
        <f>ROUND(E12/C12*G13,3)</f>
        <v/>
      </c>
      <c r="G12" s="155" t="inlineStr">
        <is>
          <t>singleron-3'转录组文库</t>
        </is>
      </c>
      <c r="H12" s="155" t="inlineStr">
        <is>
          <t>南京通元医学检验实验室有限公司</t>
        </is>
      </c>
      <c r="I12" s="157" t="n"/>
      <c r="J12" s="155" t="n"/>
      <c r="K12" s="155" t="n"/>
      <c r="L12" s="77" t="n"/>
      <c r="M12" s="77" t="n"/>
      <c r="N12" s="77" t="n">
        <v>23.45</v>
      </c>
      <c r="O12" s="77" t="n"/>
      <c r="P12" s="77" t="inlineStr">
        <is>
          <t>未磷酸化</t>
        </is>
      </c>
      <c r="Q12" s="77" t="inlineStr">
        <is>
          <t>未环化</t>
        </is>
      </c>
    </row>
    <row r="13" ht="30" customHeight="1" s="80">
      <c r="A13" s="78" t="n"/>
      <c r="B13" s="78" t="n"/>
      <c r="C13" s="78" t="n"/>
      <c r="D13" s="86">
        <f>ROUND(SUM(D5:D12),2)</f>
        <v/>
      </c>
      <c r="E13" s="87" t="n">
        <v>49.999</v>
      </c>
      <c r="F13" s="87">
        <f>IF(G13&gt;1,ROUND(SUM(F5:F12)/G13*2,3),ROUND(SUM(F5:F12),3))</f>
        <v/>
      </c>
      <c r="G13" s="77" t="n">
        <v>7</v>
      </c>
      <c r="H13" s="78" t="n"/>
      <c r="I13" s="158">
        <f>ROUND(20-F13,3)</f>
        <v/>
      </c>
      <c r="J13" s="78" t="n"/>
      <c r="K13" s="78" t="n"/>
      <c r="L13" s="78" t="n"/>
      <c r="M13" s="77">
        <f>AVERAGE(M5:M12)</f>
        <v/>
      </c>
      <c r="N13" s="78" t="n"/>
      <c r="O13" s="78" t="n"/>
      <c r="P13" s="78" t="n"/>
      <c r="Q13" s="78" t="n"/>
    </row>
    <row r="14" ht="30" customHeight="1" s="80">
      <c r="A14" s="155" t="inlineStr">
        <is>
          <t>B3</t>
        </is>
      </c>
      <c r="B14" s="155" t="inlineStr">
        <is>
          <t>HGC-Lib-26082737</t>
        </is>
      </c>
      <c r="C14" s="155" t="n">
        <v>13.8</v>
      </c>
      <c r="D14" s="156" t="n">
        <v>95</v>
      </c>
      <c r="E14" s="157" t="n">
        <v>16.102</v>
      </c>
      <c r="F14" s="157">
        <f>ROUND(E14/C14*G17,3)</f>
        <v/>
      </c>
      <c r="G14" s="155" t="inlineStr">
        <is>
          <t>singleron-3'转录组文库</t>
        </is>
      </c>
      <c r="H14" s="155" t="inlineStr">
        <is>
          <t>南京通元医学检验实验室有限公司</t>
        </is>
      </c>
      <c r="I14" s="157" t="n"/>
      <c r="J14" s="155" t="n"/>
      <c r="K14" s="155" t="n"/>
      <c r="L14" s="77" t="inlineStr">
        <is>
          <t>加测_260706_R21016100250033_ML150008967</t>
        </is>
      </c>
      <c r="M14" s="77" t="n"/>
      <c r="N14" s="77" t="n">
        <v>13.8</v>
      </c>
      <c r="O14" s="77" t="n"/>
      <c r="P14" s="77" t="inlineStr">
        <is>
          <t>未磷酸化</t>
        </is>
      </c>
      <c r="Q14" s="77" t="inlineStr">
        <is>
          <t>未环化</t>
        </is>
      </c>
    </row>
    <row r="15" ht="30" customHeight="1" s="80">
      <c r="A15" s="159" t="n"/>
      <c r="B15" s="155" t="inlineStr">
        <is>
          <t>HGC-Lib-26084919</t>
        </is>
      </c>
      <c r="C15" s="155" t="n">
        <v>20.62</v>
      </c>
      <c r="D15" s="156" t="n">
        <v>100</v>
      </c>
      <c r="E15" s="157" t="n">
        <v>16.949</v>
      </c>
      <c r="F15" s="157">
        <f>ROUND(E15/C15*G17,3)</f>
        <v/>
      </c>
      <c r="G15" s="155" t="inlineStr">
        <is>
          <t>singleron-3'转录组文库</t>
        </is>
      </c>
      <c r="H15" s="155" t="inlineStr">
        <is>
          <t>南京通元医学检验实验室有限公司</t>
        </is>
      </c>
      <c r="I15" s="157" t="n"/>
      <c r="J15" s="155" t="n"/>
      <c r="K15" s="155" t="n"/>
      <c r="L15" s="77" t="n"/>
      <c r="M15" s="77" t="n"/>
      <c r="N15" s="77" t="n">
        <v>20.62</v>
      </c>
      <c r="O15" s="77" t="n"/>
      <c r="P15" s="77" t="inlineStr">
        <is>
          <t>未磷酸化</t>
        </is>
      </c>
      <c r="Q15" s="77" t="inlineStr">
        <is>
          <t>未环化</t>
        </is>
      </c>
    </row>
    <row r="16" ht="30" customHeight="1" s="80">
      <c r="A16" s="160" t="n"/>
      <c r="B16" s="155" t="inlineStr">
        <is>
          <t>HGC-Lib-26084925</t>
        </is>
      </c>
      <c r="C16" s="155" t="n">
        <v>16.35</v>
      </c>
      <c r="D16" s="156" t="n">
        <v>100</v>
      </c>
      <c r="E16" s="157" t="n">
        <v>16.949</v>
      </c>
      <c r="F16" s="157">
        <f>ROUND(E16/C16*G17,3)</f>
        <v/>
      </c>
      <c r="G16" s="155" t="inlineStr">
        <is>
          <t>singleron-3'转录组文库</t>
        </is>
      </c>
      <c r="H16" s="155" t="inlineStr">
        <is>
          <t>南京通元医学检验实验室有限公司</t>
        </is>
      </c>
      <c r="I16" s="157" t="n"/>
      <c r="J16" s="155" t="n"/>
      <c r="K16" s="155" t="n"/>
      <c r="L16" s="77" t="n"/>
      <c r="M16" s="77" t="n"/>
      <c r="N16" s="77" t="n">
        <v>16.35</v>
      </c>
      <c r="O16" s="77" t="n"/>
      <c r="P16" s="77" t="inlineStr">
        <is>
          <t>未磷酸化</t>
        </is>
      </c>
      <c r="Q16" s="77" t="inlineStr">
        <is>
          <t>未环化</t>
        </is>
      </c>
    </row>
    <row r="17" ht="30" customHeight="1" s="80">
      <c r="A17" s="78" t="n"/>
      <c r="B17" s="78" t="n"/>
      <c r="C17" s="78" t="n"/>
      <c r="D17" s="86">
        <f>ROUND(SUM(D14:D16),2)</f>
        <v/>
      </c>
      <c r="E17" s="87" t="n">
        <v>50</v>
      </c>
      <c r="F17" s="87">
        <f>IF(G17&gt;1,ROUND(SUM(F14:F16)/G17*2,3),ROUND(SUM(F14:F16),3))</f>
        <v/>
      </c>
      <c r="G17" s="77" t="n">
        <v>1</v>
      </c>
      <c r="H17" s="78" t="n"/>
      <c r="I17" s="158">
        <f>ROUND(20-F17,3)</f>
        <v/>
      </c>
      <c r="J17" s="78" t="n"/>
      <c r="K17" s="78" t="n"/>
      <c r="L17" s="78" t="n"/>
      <c r="M17" s="77">
        <f>AVERAGE(M14:M16)</f>
        <v/>
      </c>
      <c r="N17" s="78" t="n"/>
      <c r="O17" s="78" t="n"/>
      <c r="P17" s="78" t="n"/>
      <c r="Q17" s="78" t="n"/>
    </row>
    <row r="18" ht="30" customHeight="1" s="80">
      <c r="A18" s="155" t="inlineStr">
        <is>
          <t>B4</t>
        </is>
      </c>
      <c r="B18" s="155" t="inlineStr">
        <is>
          <t>HGC-Lib-26084934</t>
        </is>
      </c>
      <c r="C18" s="155" t="n">
        <v>23.27</v>
      </c>
      <c r="D18" s="156" t="n">
        <v>10</v>
      </c>
      <c r="E18" s="157" t="n">
        <v>25</v>
      </c>
      <c r="F18" s="157">
        <f>ROUND(E18/C18*G20,3)</f>
        <v/>
      </c>
      <c r="G18" s="155" t="inlineStr">
        <is>
          <t>singleron-3'转录组文库</t>
        </is>
      </c>
      <c r="H18" s="155" t="inlineStr">
        <is>
          <t>南京通元医学检验实验室有限公司</t>
        </is>
      </c>
      <c r="I18" s="157" t="n"/>
      <c r="J18" s="155" t="n"/>
      <c r="K18" s="155" t="n"/>
      <c r="L18" s="77" t="inlineStr">
        <is>
          <t>超级加急</t>
        </is>
      </c>
      <c r="M18" s="77" t="n"/>
      <c r="N18" s="77" t="n">
        <v>23.27</v>
      </c>
      <c r="O18" s="77" t="n"/>
      <c r="P18" s="77" t="inlineStr">
        <is>
          <t>未磷酸化</t>
        </is>
      </c>
      <c r="Q18" s="77" t="inlineStr">
        <is>
          <t>未环化</t>
        </is>
      </c>
    </row>
    <row r="19" ht="30" customHeight="1" s="80">
      <c r="A19" s="160" t="n"/>
      <c r="B19" s="155" t="inlineStr">
        <is>
          <t>HGC-Lib-26084935</t>
        </is>
      </c>
      <c r="C19" s="155" t="n">
        <v>22.06</v>
      </c>
      <c r="D19" s="156" t="n">
        <v>10</v>
      </c>
      <c r="E19" s="157" t="n">
        <v>25</v>
      </c>
      <c r="F19" s="157">
        <f>ROUND(E19/C19*G20,3)</f>
        <v/>
      </c>
      <c r="G19" s="155" t="inlineStr">
        <is>
          <t>singleron-3'转录组文库</t>
        </is>
      </c>
      <c r="H19" s="155" t="inlineStr">
        <is>
          <t>南京通元医学检验实验室有限公司</t>
        </is>
      </c>
      <c r="I19" s="157" t="n"/>
      <c r="J19" s="155" t="n"/>
      <c r="K19" s="155" t="n"/>
      <c r="L19" s="77" t="inlineStr">
        <is>
          <t>超级加急</t>
        </is>
      </c>
      <c r="M19" s="77" t="n"/>
      <c r="N19" s="77" t="n">
        <v>22.06</v>
      </c>
      <c r="O19" s="77" t="n"/>
      <c r="P19" s="77" t="inlineStr">
        <is>
          <t>未磷酸化</t>
        </is>
      </c>
      <c r="Q19" s="77" t="inlineStr">
        <is>
          <t>未环化</t>
        </is>
      </c>
    </row>
    <row r="20" ht="30" customHeight="1" s="80">
      <c r="A20" s="78" t="n"/>
      <c r="B20" s="78" t="n"/>
      <c r="C20" s="78" t="n"/>
      <c r="D20" s="86">
        <f>ROUND(SUM(D18:D19),2)</f>
        <v/>
      </c>
      <c r="E20" s="87" t="n">
        <v>50</v>
      </c>
      <c r="F20" s="87">
        <f>IF(G20&gt;1,ROUND(SUM(F18:F19)/G20*2,3),ROUND(SUM(F18:F19),3))</f>
        <v/>
      </c>
      <c r="G20" s="77" t="n">
        <v>1</v>
      </c>
      <c r="H20" s="78" t="n"/>
      <c r="I20" s="158">
        <f>ROUND(20-F20,3)</f>
        <v/>
      </c>
      <c r="J20" s="78" t="n"/>
      <c r="K20" s="78" t="n"/>
      <c r="L20" s="78" t="n"/>
      <c r="M20" s="77">
        <f>AVERAGE(M18:M19)</f>
        <v/>
      </c>
      <c r="N20" s="78" t="n"/>
      <c r="O20" s="78" t="n"/>
      <c r="P20" s="78" t="n"/>
      <c r="Q20" s="78" t="n"/>
    </row>
    <row r="21" ht="30" customHeight="1" s="80">
      <c r="A21" s="155" t="inlineStr">
        <is>
          <t>B5</t>
        </is>
      </c>
      <c r="B21" s="155" t="inlineStr">
        <is>
          <t>HGC-Lib-26084926</t>
        </is>
      </c>
      <c r="C21" s="155" t="n">
        <v>12.16</v>
      </c>
      <c r="D21" s="156" t="n">
        <v>100</v>
      </c>
      <c r="E21" s="157" t="n">
        <v>6.098</v>
      </c>
      <c r="F21" s="157">
        <f>ROUND(E21/C21*G29,3)</f>
        <v/>
      </c>
      <c r="G21" s="155" t="inlineStr">
        <is>
          <t>singleron-3'转录组文库</t>
        </is>
      </c>
      <c r="H21" s="155" t="inlineStr">
        <is>
          <t>南京通元医学检验实验室有限公司</t>
        </is>
      </c>
      <c r="I21" s="157" t="n"/>
      <c r="J21" s="155" t="n"/>
      <c r="K21" s="155" t="n"/>
      <c r="L21" s="77" t="n"/>
      <c r="M21" s="77" t="n"/>
      <c r="N21" s="77" t="n">
        <v>12.16</v>
      </c>
      <c r="O21" s="77" t="n"/>
      <c r="P21" s="77" t="inlineStr">
        <is>
          <t>未磷酸化</t>
        </is>
      </c>
      <c r="Q21" s="77" t="inlineStr">
        <is>
          <t>未环化</t>
        </is>
      </c>
    </row>
    <row r="22" ht="30" customHeight="1" s="80">
      <c r="A22" s="159" t="n"/>
      <c r="B22" s="155" t="inlineStr">
        <is>
          <t>HGC-Lib-26084927</t>
        </is>
      </c>
      <c r="C22" s="155" t="n">
        <v>16.09</v>
      </c>
      <c r="D22" s="156" t="n">
        <v>100</v>
      </c>
      <c r="E22" s="157" t="n">
        <v>6.098</v>
      </c>
      <c r="F22" s="157">
        <f>ROUND(E22/C22*G29,3)</f>
        <v/>
      </c>
      <c r="G22" s="155" t="inlineStr">
        <is>
          <t>singleron-3'转录组文库</t>
        </is>
      </c>
      <c r="H22" s="155" t="inlineStr">
        <is>
          <t>南京通元医学检验实验室有限公司</t>
        </is>
      </c>
      <c r="I22" s="157" t="n"/>
      <c r="J22" s="155" t="n"/>
      <c r="K22" s="155" t="n"/>
      <c r="L22" s="77" t="n"/>
      <c r="M22" s="77" t="n"/>
      <c r="N22" s="77" t="n">
        <v>16.09</v>
      </c>
      <c r="O22" s="77" t="n"/>
      <c r="P22" s="77" t="inlineStr">
        <is>
          <t>未磷酸化</t>
        </is>
      </c>
      <c r="Q22" s="77" t="inlineStr">
        <is>
          <t>未环化</t>
        </is>
      </c>
    </row>
    <row r="23" ht="30" customHeight="1" s="80">
      <c r="A23" s="159" t="n"/>
      <c r="B23" s="155" t="inlineStr">
        <is>
          <t>HGC-Lib-26084928</t>
        </is>
      </c>
      <c r="C23" s="155" t="n">
        <v>23.81</v>
      </c>
      <c r="D23" s="156" t="n">
        <v>100</v>
      </c>
      <c r="E23" s="157" t="n">
        <v>6.098</v>
      </c>
      <c r="F23" s="157">
        <f>ROUND(E23/C23*G29,3)</f>
        <v/>
      </c>
      <c r="G23" s="155" t="inlineStr">
        <is>
          <t>singleron-3'转录组文库</t>
        </is>
      </c>
      <c r="H23" s="155" t="inlineStr">
        <is>
          <t>南京通元医学检验实验室有限公司</t>
        </is>
      </c>
      <c r="I23" s="157" t="n"/>
      <c r="J23" s="155" t="n"/>
      <c r="K23" s="155" t="n"/>
      <c r="L23" s="77" t="n"/>
      <c r="M23" s="77" t="n"/>
      <c r="N23" s="77" t="n">
        <v>23.81</v>
      </c>
      <c r="O23" s="77" t="n"/>
      <c r="P23" s="77" t="inlineStr">
        <is>
          <t>未磷酸化</t>
        </is>
      </c>
      <c r="Q23" s="77" t="inlineStr">
        <is>
          <t>未环化</t>
        </is>
      </c>
    </row>
    <row r="24" ht="30" customHeight="1" s="80">
      <c r="A24" s="159" t="n"/>
      <c r="B24" s="155" t="inlineStr">
        <is>
          <t>HGC-Lib-26084929</t>
        </is>
      </c>
      <c r="C24" s="155" t="n">
        <v>23.62</v>
      </c>
      <c r="D24" s="156" t="n">
        <v>100</v>
      </c>
      <c r="E24" s="157" t="n">
        <v>6.098</v>
      </c>
      <c r="F24" s="157">
        <f>ROUND(E24/C24*G29,3)</f>
        <v/>
      </c>
      <c r="G24" s="155" t="inlineStr">
        <is>
          <t>singleron-3'转录组文库</t>
        </is>
      </c>
      <c r="H24" s="155" t="inlineStr">
        <is>
          <t>南京通元医学检验实验室有限公司</t>
        </is>
      </c>
      <c r="I24" s="157" t="n"/>
      <c r="J24" s="155" t="n"/>
      <c r="K24" s="155" t="n"/>
      <c r="L24" s="77" t="n"/>
      <c r="M24" s="77" t="n"/>
      <c r="N24" s="77" t="n">
        <v>23.62</v>
      </c>
      <c r="O24" s="77" t="n"/>
      <c r="P24" s="77" t="inlineStr">
        <is>
          <t>未磷酸化</t>
        </is>
      </c>
      <c r="Q24" s="77" t="inlineStr">
        <is>
          <t>未环化</t>
        </is>
      </c>
    </row>
    <row r="25" ht="30" customHeight="1" s="80">
      <c r="A25" s="159" t="n"/>
      <c r="B25" s="155" t="inlineStr">
        <is>
          <t>HGC-Lib-26084930</t>
        </is>
      </c>
      <c r="C25" s="155" t="n">
        <v>15.12</v>
      </c>
      <c r="D25" s="156" t="n">
        <v>100</v>
      </c>
      <c r="E25" s="157" t="n">
        <v>6.098</v>
      </c>
      <c r="F25" s="157">
        <f>ROUND(E25/C25*G29,3)</f>
        <v/>
      </c>
      <c r="G25" s="155" t="inlineStr">
        <is>
          <t>singleron-3'转录组文库</t>
        </is>
      </c>
      <c r="H25" s="155" t="inlineStr">
        <is>
          <t>南京通元医学检验实验室有限公司</t>
        </is>
      </c>
      <c r="I25" s="157" t="n"/>
      <c r="J25" s="155" t="n"/>
      <c r="K25" s="155" t="n"/>
      <c r="L25" s="77" t="n"/>
      <c r="M25" s="77" t="n"/>
      <c r="N25" s="77" t="n">
        <v>15.12</v>
      </c>
      <c r="O25" s="77" t="n"/>
      <c r="P25" s="77" t="inlineStr">
        <is>
          <t>未磷酸化</t>
        </is>
      </c>
      <c r="Q25" s="77" t="inlineStr">
        <is>
          <t>未环化</t>
        </is>
      </c>
    </row>
    <row r="26" ht="30" customHeight="1" s="80">
      <c r="A26" s="159" t="n"/>
      <c r="B26" s="155" t="inlineStr">
        <is>
          <t>HGC-Lib-26084931</t>
        </is>
      </c>
      <c r="C26" s="155" t="n">
        <v>20.83</v>
      </c>
      <c r="D26" s="156" t="n">
        <v>100</v>
      </c>
      <c r="E26" s="157" t="n">
        <v>6.098</v>
      </c>
      <c r="F26" s="157">
        <f>ROUND(E26/C26*G29,3)</f>
        <v/>
      </c>
      <c r="G26" s="155" t="inlineStr">
        <is>
          <t>singleron-3'转录组文库</t>
        </is>
      </c>
      <c r="H26" s="155" t="inlineStr">
        <is>
          <t>南京通元医学检验实验室有限公司</t>
        </is>
      </c>
      <c r="I26" s="157" t="n"/>
      <c r="J26" s="155" t="n"/>
      <c r="K26" s="155" t="n"/>
      <c r="L26" s="77" t="n"/>
      <c r="M26" s="77" t="n"/>
      <c r="N26" s="77" t="n">
        <v>20.83</v>
      </c>
      <c r="O26" s="77" t="n"/>
      <c r="P26" s="77" t="inlineStr">
        <is>
          <t>未磷酸化</t>
        </is>
      </c>
      <c r="Q26" s="77" t="inlineStr">
        <is>
          <t>未环化</t>
        </is>
      </c>
    </row>
    <row r="27" ht="30" customHeight="1" s="80">
      <c r="A27" s="159" t="n"/>
      <c r="B27" s="155" t="inlineStr">
        <is>
          <t>HGC-Lib-26084932</t>
        </is>
      </c>
      <c r="C27" s="155" t="n">
        <v>22.53</v>
      </c>
      <c r="D27" s="156" t="n">
        <v>100</v>
      </c>
      <c r="E27" s="157" t="n">
        <v>6.098</v>
      </c>
      <c r="F27" s="157">
        <f>ROUND(E27/C27*G29,3)</f>
        <v/>
      </c>
      <c r="G27" s="155" t="inlineStr">
        <is>
          <t>singleron-3'转录组文库</t>
        </is>
      </c>
      <c r="H27" s="155" t="inlineStr">
        <is>
          <t>南京通元医学检验实验室有限公司</t>
        </is>
      </c>
      <c r="I27" s="157" t="n"/>
      <c r="J27" s="155" t="n"/>
      <c r="K27" s="155" t="n"/>
      <c r="L27" s="77" t="n"/>
      <c r="M27" s="77" t="n"/>
      <c r="N27" s="77" t="n">
        <v>22.53</v>
      </c>
      <c r="O27" s="77" t="n"/>
      <c r="P27" s="77" t="inlineStr">
        <is>
          <t>未磷酸化</t>
        </is>
      </c>
      <c r="Q27" s="77" t="inlineStr">
        <is>
          <t>未环化</t>
        </is>
      </c>
    </row>
    <row r="28" ht="30" customHeight="1" s="80">
      <c r="A28" s="160" t="n"/>
      <c r="B28" s="155" t="inlineStr">
        <is>
          <t>HGC-Lib-26084933</t>
        </is>
      </c>
      <c r="C28" s="155" t="n">
        <v>29.62</v>
      </c>
      <c r="D28" s="156" t="n">
        <v>120</v>
      </c>
      <c r="E28" s="157" t="n">
        <v>7.317</v>
      </c>
      <c r="F28" s="157">
        <f>ROUND(E28/C28*G29,3)</f>
        <v/>
      </c>
      <c r="G28" s="155" t="inlineStr">
        <is>
          <t>singleron-3'转录组文库</t>
        </is>
      </c>
      <c r="H28" s="155" t="inlineStr">
        <is>
          <t>南京通元医学检验实验室有限公司</t>
        </is>
      </c>
      <c r="I28" s="157" t="n"/>
      <c r="J28" s="155" t="n"/>
      <c r="K28" s="155" t="n"/>
      <c r="L28" s="77" t="inlineStr">
        <is>
          <t>超级加急</t>
        </is>
      </c>
      <c r="M28" s="77" t="n"/>
      <c r="N28" s="77" t="n">
        <v>29.62</v>
      </c>
      <c r="O28" s="77" t="n"/>
      <c r="P28" s="77" t="inlineStr">
        <is>
          <t>未磷酸化</t>
        </is>
      </c>
      <c r="Q28" s="77" t="inlineStr">
        <is>
          <t>未环化</t>
        </is>
      </c>
    </row>
    <row r="29" ht="30" customHeight="1" s="80">
      <c r="A29" s="78" t="n"/>
      <c r="B29" s="78" t="n"/>
      <c r="C29" s="78" t="n"/>
      <c r="D29" s="86">
        <f>ROUND(SUM(D21:D28),2)</f>
        <v/>
      </c>
      <c r="E29" s="87" t="n">
        <v>50.003</v>
      </c>
      <c r="F29" s="87">
        <f>IF(G29&gt;1,ROUND(SUM(F21:F28)/G29*2,3),ROUND(SUM(F21:F28),3))</f>
        <v/>
      </c>
      <c r="G29" s="77" t="n">
        <v>3</v>
      </c>
      <c r="H29" s="78" t="n"/>
      <c r="I29" s="158">
        <f>ROUND(20-F29,3)</f>
        <v/>
      </c>
      <c r="J29" s="78" t="n"/>
      <c r="K29" s="78" t="n"/>
      <c r="L29" s="78" t="n"/>
      <c r="M29" s="77">
        <f>AVERAGE(M21:M28)</f>
        <v/>
      </c>
      <c r="N29" s="78" t="n"/>
      <c r="O29" s="78" t="n"/>
      <c r="P29" s="78" t="n"/>
      <c r="Q29" s="78" t="n"/>
    </row>
    <row r="30" ht="30" customHeight="1" s="80">
      <c r="A30" s="155" t="inlineStr">
        <is>
          <t>B6</t>
        </is>
      </c>
      <c r="B30" s="155" t="inlineStr">
        <is>
          <t>HGC-Lib-26083915</t>
        </is>
      </c>
      <c r="C30" s="155" t="n">
        <v>63.2</v>
      </c>
      <c r="D30" s="156" t="n">
        <v>100</v>
      </c>
      <c r="E30" s="157" t="n">
        <v>50</v>
      </c>
      <c r="F30" s="157">
        <f>ROUND(E30/C30*G31,3)</f>
        <v/>
      </c>
      <c r="G30" s="155" t="inlineStr">
        <is>
          <t>singleron-空转文库</t>
        </is>
      </c>
      <c r="H30" s="155" t="inlineStr">
        <is>
          <t>南京通元医学检验实验室有限公司</t>
        </is>
      </c>
      <c r="I30" s="157" t="n"/>
      <c r="J30" s="155" t="n"/>
      <c r="K30" s="155" t="n"/>
      <c r="L30" s="77" t="n"/>
      <c r="M30" s="77" t="n"/>
      <c r="N30" s="77" t="n">
        <v>63.2</v>
      </c>
      <c r="O30" s="77" t="n"/>
      <c r="P30" s="77" t="inlineStr">
        <is>
          <t>未磷酸化</t>
        </is>
      </c>
      <c r="Q30" s="77" t="inlineStr">
        <is>
          <t>未环化</t>
        </is>
      </c>
    </row>
    <row r="31" ht="30" customHeight="1" s="80">
      <c r="A31" s="78" t="n"/>
      <c r="B31" s="78" t="n"/>
      <c r="C31" s="78" t="n"/>
      <c r="D31" s="86">
        <f>ROUND(SUM(D30:D30),2)</f>
        <v/>
      </c>
      <c r="E31" s="87" t="n">
        <v>50</v>
      </c>
      <c r="F31" s="87">
        <f>IF(G31&gt;1,ROUND(SUM(F30:F30)/G31*2,3),ROUND(SUM(F30:F30),3))</f>
        <v/>
      </c>
      <c r="G31" s="77" t="n">
        <v>1</v>
      </c>
      <c r="H31" s="78" t="n"/>
      <c r="I31" s="158">
        <f>ROUND(20-F31,3)</f>
        <v/>
      </c>
      <c r="J31" s="78" t="n"/>
      <c r="K31" s="78" t="n"/>
      <c r="L31" s="78" t="n"/>
      <c r="M31" s="77">
        <f>AVERAGE(M30:M30)</f>
        <v/>
      </c>
      <c r="N31" s="78" t="n"/>
      <c r="O31" s="78" t="n"/>
      <c r="P31" s="78" t="n"/>
      <c r="Q31" s="78" t="n"/>
    </row>
    <row r="32" ht="30" customHeight="1" s="80">
      <c r="A32" s="155" t="inlineStr">
        <is>
          <t>B7</t>
        </is>
      </c>
      <c r="B32" s="155" t="inlineStr">
        <is>
          <t>260709P1-60</t>
        </is>
      </c>
      <c r="C32" s="155" t="n">
        <v>63.84</v>
      </c>
      <c r="D32" s="156" t="n">
        <v>60</v>
      </c>
      <c r="E32" s="157" t="n">
        <v>50</v>
      </c>
      <c r="F32" s="157">
        <f>ROUND(E32/C32*G33,3)</f>
        <v/>
      </c>
      <c r="G32" s="155" t="inlineStr">
        <is>
          <t>mRNA-T7</t>
        </is>
      </c>
      <c r="H32" s="155" t="inlineStr">
        <is>
          <t>暨南大学</t>
        </is>
      </c>
      <c r="I32" s="157" t="n"/>
      <c r="J32" s="155" t="n"/>
      <c r="K32" s="155" t="n"/>
      <c r="L32" s="77" t="n"/>
      <c r="M32" s="77" t="n">
        <v>461</v>
      </c>
      <c r="N32" s="77" t="n">
        <v>63.84</v>
      </c>
      <c r="O32" s="77" t="inlineStr">
        <is>
          <t>合格</t>
        </is>
      </c>
      <c r="P32" s="77" t="n"/>
      <c r="Q32" s="77" t="n"/>
    </row>
    <row r="33" ht="30" customHeight="1" s="80">
      <c r="A33" s="78" t="n"/>
      <c r="B33" s="78" t="n"/>
      <c r="C33" s="78" t="n"/>
      <c r="D33" s="86">
        <f>ROUND(SUM(D32:D32),2)</f>
        <v/>
      </c>
      <c r="E33" s="87" t="n">
        <v>50</v>
      </c>
      <c r="F33" s="87">
        <f>IF(G33&gt;1,ROUND(SUM(F32:F32)/G33*2,3),ROUND(SUM(F32:F32),3))</f>
        <v/>
      </c>
      <c r="G33" s="77" t="n">
        <v>1</v>
      </c>
      <c r="H33" s="78" t="n"/>
      <c r="I33" s="158">
        <f>ROUND(20-F33,3)</f>
        <v/>
      </c>
      <c r="J33" s="78" t="n"/>
      <c r="K33" s="78" t="n"/>
      <c r="L33" s="78" t="n"/>
      <c r="M33" s="77">
        <f>AVERAGE(M32:M32)</f>
        <v/>
      </c>
      <c r="N33" s="78" t="n"/>
      <c r="O33" s="78" t="n"/>
      <c r="P33" s="78" t="n"/>
      <c r="Q33" s="78" t="n"/>
    </row>
    <row r="34" ht="30" customHeight="1" s="80">
      <c r="A34" s="155" t="inlineStr">
        <is>
          <t>B8</t>
        </is>
      </c>
      <c r="B34" s="155" t="inlineStr">
        <is>
          <t>HGC-Lib-26084340</t>
        </is>
      </c>
      <c r="C34" s="155" t="n">
        <v>75.47</v>
      </c>
      <c r="D34" s="156" t="n">
        <v>6</v>
      </c>
      <c r="E34" s="157" t="n">
        <v>0.543</v>
      </c>
      <c r="F34" s="157">
        <f>ROUND(E34/C34*G126,3)</f>
        <v/>
      </c>
      <c r="G34" s="155" t="inlineStr">
        <is>
          <t>mRNA</t>
        </is>
      </c>
      <c r="H34" s="155" t="inlineStr">
        <is>
          <t>江西烈冰生物科技有限公司</t>
        </is>
      </c>
      <c r="I34" s="157" t="n"/>
      <c r="J34" s="155" t="n"/>
      <c r="K34" s="155" t="n"/>
      <c r="L34" s="77" t="inlineStr">
        <is>
          <t>加急</t>
        </is>
      </c>
      <c r="M34" s="77" t="n"/>
      <c r="N34" s="77" t="n">
        <v>75.47</v>
      </c>
      <c r="O34" s="77" t="n"/>
      <c r="P34" s="77" t="inlineStr">
        <is>
          <t>未磷酸化</t>
        </is>
      </c>
      <c r="Q34" s="77" t="inlineStr">
        <is>
          <t>未环化</t>
        </is>
      </c>
    </row>
    <row r="35" ht="30" customHeight="1" s="80">
      <c r="A35" s="159" t="n"/>
      <c r="B35" s="155" t="inlineStr">
        <is>
          <t>HGC-Lib-26084341</t>
        </is>
      </c>
      <c r="C35" s="155" t="n">
        <v>69.2</v>
      </c>
      <c r="D35" s="156" t="n">
        <v>6</v>
      </c>
      <c r="E35" s="157" t="n">
        <v>0.543</v>
      </c>
      <c r="F35" s="157">
        <f>ROUND(E35/C35*G126,3)</f>
        <v/>
      </c>
      <c r="G35" s="155" t="inlineStr">
        <is>
          <t>mRNA</t>
        </is>
      </c>
      <c r="H35" s="155" t="inlineStr">
        <is>
          <t>江西烈冰生物科技有限公司</t>
        </is>
      </c>
      <c r="I35" s="157" t="n"/>
      <c r="J35" s="155" t="n"/>
      <c r="K35" s="155" t="n"/>
      <c r="L35" s="77" t="inlineStr">
        <is>
          <t>加急</t>
        </is>
      </c>
      <c r="M35" s="77" t="n"/>
      <c r="N35" s="77" t="n">
        <v>69.2</v>
      </c>
      <c r="O35" s="77" t="n"/>
      <c r="P35" s="77" t="inlineStr">
        <is>
          <t>未磷酸化</t>
        </is>
      </c>
      <c r="Q35" s="77" t="inlineStr">
        <is>
          <t>未环化</t>
        </is>
      </c>
    </row>
    <row r="36" ht="30" customHeight="1" s="80">
      <c r="A36" s="159" t="n"/>
      <c r="B36" s="155" t="inlineStr">
        <is>
          <t>HGC-Lib-26084342</t>
        </is>
      </c>
      <c r="C36" s="155" t="n">
        <v>68.45999999999999</v>
      </c>
      <c r="D36" s="156" t="n">
        <v>6</v>
      </c>
      <c r="E36" s="157" t="n">
        <v>0.543</v>
      </c>
      <c r="F36" s="157">
        <f>ROUND(E36/C36*G126,3)</f>
        <v/>
      </c>
      <c r="G36" s="155" t="inlineStr">
        <is>
          <t>mRNA</t>
        </is>
      </c>
      <c r="H36" s="155" t="inlineStr">
        <is>
          <t>江西烈冰生物科技有限公司</t>
        </is>
      </c>
      <c r="I36" s="157" t="n"/>
      <c r="J36" s="155" t="n"/>
      <c r="K36" s="155" t="n"/>
      <c r="L36" s="77" t="inlineStr">
        <is>
          <t>加急</t>
        </is>
      </c>
      <c r="M36" s="77" t="n"/>
      <c r="N36" s="77" t="n">
        <v>68.45999999999999</v>
      </c>
      <c r="O36" s="77" t="n"/>
      <c r="P36" s="77" t="inlineStr">
        <is>
          <t>未磷酸化</t>
        </is>
      </c>
      <c r="Q36" s="77" t="inlineStr">
        <is>
          <t>未环化</t>
        </is>
      </c>
    </row>
    <row r="37" ht="30" customHeight="1" s="80">
      <c r="A37" s="159" t="n"/>
      <c r="B37" s="155" t="inlineStr">
        <is>
          <t>HGC-Lib-26084343</t>
        </is>
      </c>
      <c r="C37" s="155" t="n">
        <v>70.41</v>
      </c>
      <c r="D37" s="156" t="n">
        <v>6</v>
      </c>
      <c r="E37" s="157" t="n">
        <v>0.543</v>
      </c>
      <c r="F37" s="157">
        <f>ROUND(E37/C37*G126,3)</f>
        <v/>
      </c>
      <c r="G37" s="155" t="inlineStr">
        <is>
          <t>mRNA</t>
        </is>
      </c>
      <c r="H37" s="155" t="inlineStr">
        <is>
          <t>江西烈冰生物科技有限公司</t>
        </is>
      </c>
      <c r="I37" s="157" t="n"/>
      <c r="J37" s="155" t="n"/>
      <c r="K37" s="155" t="n"/>
      <c r="L37" s="77" t="inlineStr">
        <is>
          <t>加急</t>
        </is>
      </c>
      <c r="M37" s="77" t="n"/>
      <c r="N37" s="77" t="n">
        <v>70.41</v>
      </c>
      <c r="O37" s="77" t="n"/>
      <c r="P37" s="77" t="inlineStr">
        <is>
          <t>未磷酸化</t>
        </is>
      </c>
      <c r="Q37" s="77" t="inlineStr">
        <is>
          <t>未环化</t>
        </is>
      </c>
    </row>
    <row r="38" ht="30" customHeight="1" s="80">
      <c r="A38" s="159" t="n"/>
      <c r="B38" s="155" t="inlineStr">
        <is>
          <t>HGC-Lib-26084344</t>
        </is>
      </c>
      <c r="C38" s="155" t="n">
        <v>77.51000000000001</v>
      </c>
      <c r="D38" s="156" t="n">
        <v>6</v>
      </c>
      <c r="E38" s="157" t="n">
        <v>0.543</v>
      </c>
      <c r="F38" s="157">
        <f>ROUND(E38/C38*G126,3)</f>
        <v/>
      </c>
      <c r="G38" s="155" t="inlineStr">
        <is>
          <t>mRNA</t>
        </is>
      </c>
      <c r="H38" s="155" t="inlineStr">
        <is>
          <t>江西烈冰生物科技有限公司</t>
        </is>
      </c>
      <c r="I38" s="157" t="n"/>
      <c r="J38" s="155" t="n"/>
      <c r="K38" s="155" t="n"/>
      <c r="L38" s="77" t="inlineStr">
        <is>
          <t>加急</t>
        </is>
      </c>
      <c r="M38" s="77" t="n"/>
      <c r="N38" s="77" t="n">
        <v>77.51000000000001</v>
      </c>
      <c r="O38" s="77" t="n"/>
      <c r="P38" s="77" t="inlineStr">
        <is>
          <t>未磷酸化</t>
        </is>
      </c>
      <c r="Q38" s="77" t="inlineStr">
        <is>
          <t>未环化</t>
        </is>
      </c>
    </row>
    <row r="39" ht="30" customHeight="1" s="80">
      <c r="A39" s="159" t="n"/>
      <c r="B39" s="155" t="inlineStr">
        <is>
          <t>HGC-Lib-26084345</t>
        </is>
      </c>
      <c r="C39" s="155" t="n">
        <v>74.66</v>
      </c>
      <c r="D39" s="156" t="n">
        <v>6</v>
      </c>
      <c r="E39" s="157" t="n">
        <v>0.543</v>
      </c>
      <c r="F39" s="157">
        <f>ROUND(E39/C39*G126,3)</f>
        <v/>
      </c>
      <c r="G39" s="155" t="inlineStr">
        <is>
          <t>mRNA</t>
        </is>
      </c>
      <c r="H39" s="155" t="inlineStr">
        <is>
          <t>江西烈冰生物科技有限公司</t>
        </is>
      </c>
      <c r="I39" s="157" t="n"/>
      <c r="J39" s="155" t="n"/>
      <c r="K39" s="155" t="n"/>
      <c r="L39" s="77" t="inlineStr">
        <is>
          <t>加急</t>
        </is>
      </c>
      <c r="M39" s="77" t="n"/>
      <c r="N39" s="77" t="n">
        <v>74.66</v>
      </c>
      <c r="O39" s="77" t="n"/>
      <c r="P39" s="77" t="inlineStr">
        <is>
          <t>未磷酸化</t>
        </is>
      </c>
      <c r="Q39" s="77" t="inlineStr">
        <is>
          <t>未环化</t>
        </is>
      </c>
    </row>
    <row r="40" ht="30" customHeight="1" s="80">
      <c r="A40" s="159" t="n"/>
      <c r="B40" s="155" t="inlineStr">
        <is>
          <t>HGC-Lib-26084346</t>
        </is>
      </c>
      <c r="C40" s="155" t="n">
        <v>76.5</v>
      </c>
      <c r="D40" s="156" t="n">
        <v>6</v>
      </c>
      <c r="E40" s="157" t="n">
        <v>0.543</v>
      </c>
      <c r="F40" s="157">
        <f>ROUND(E40/C40*G126,3)</f>
        <v/>
      </c>
      <c r="G40" s="155" t="inlineStr">
        <is>
          <t>mRNA</t>
        </is>
      </c>
      <c r="H40" s="155" t="inlineStr">
        <is>
          <t>江西烈冰生物科技有限公司</t>
        </is>
      </c>
      <c r="I40" s="157" t="n"/>
      <c r="J40" s="155" t="n"/>
      <c r="K40" s="155" t="n"/>
      <c r="L40" s="77" t="inlineStr">
        <is>
          <t>加急</t>
        </is>
      </c>
      <c r="M40" s="77" t="n"/>
      <c r="N40" s="77" t="n">
        <v>76.5</v>
      </c>
      <c r="O40" s="77" t="n"/>
      <c r="P40" s="77" t="inlineStr">
        <is>
          <t>未磷酸化</t>
        </is>
      </c>
      <c r="Q40" s="77" t="inlineStr">
        <is>
          <t>未环化</t>
        </is>
      </c>
    </row>
    <row r="41" ht="30" customHeight="1" s="80">
      <c r="A41" s="159" t="n"/>
      <c r="B41" s="155" t="inlineStr">
        <is>
          <t>HGC-Lib-26084347</t>
        </is>
      </c>
      <c r="C41" s="155" t="n">
        <v>72.58</v>
      </c>
      <c r="D41" s="156" t="n">
        <v>6</v>
      </c>
      <c r="E41" s="157" t="n">
        <v>0.543</v>
      </c>
      <c r="F41" s="157">
        <f>ROUND(E41/C41*G126,3)</f>
        <v/>
      </c>
      <c r="G41" s="155" t="inlineStr">
        <is>
          <t>mRNA</t>
        </is>
      </c>
      <c r="H41" s="155" t="inlineStr">
        <is>
          <t>江西烈冰生物科技有限公司</t>
        </is>
      </c>
      <c r="I41" s="157" t="n"/>
      <c r="J41" s="155" t="n"/>
      <c r="K41" s="155" t="n"/>
      <c r="L41" s="77" t="inlineStr">
        <is>
          <t>加急</t>
        </is>
      </c>
      <c r="M41" s="77" t="n"/>
      <c r="N41" s="77" t="n">
        <v>72.58</v>
      </c>
      <c r="O41" s="77" t="n"/>
      <c r="P41" s="77" t="inlineStr">
        <is>
          <t>未磷酸化</t>
        </is>
      </c>
      <c r="Q41" s="77" t="inlineStr">
        <is>
          <t>未环化</t>
        </is>
      </c>
    </row>
    <row r="42" ht="30" customHeight="1" s="80">
      <c r="A42" s="159" t="n"/>
      <c r="B42" s="155" t="inlineStr">
        <is>
          <t>HGC-Lib-26084348</t>
        </is>
      </c>
      <c r="C42" s="155" t="n">
        <v>67.34999999999999</v>
      </c>
      <c r="D42" s="156" t="n">
        <v>6</v>
      </c>
      <c r="E42" s="157" t="n">
        <v>0.543</v>
      </c>
      <c r="F42" s="157">
        <f>ROUND(E42/C42*G126,3)</f>
        <v/>
      </c>
      <c r="G42" s="155" t="inlineStr">
        <is>
          <t>mRNA</t>
        </is>
      </c>
      <c r="H42" s="155" t="inlineStr">
        <is>
          <t>江西烈冰生物科技有限公司</t>
        </is>
      </c>
      <c r="I42" s="157" t="n"/>
      <c r="J42" s="155" t="n"/>
      <c r="K42" s="155" t="n"/>
      <c r="L42" s="77" t="inlineStr">
        <is>
          <t>加急</t>
        </is>
      </c>
      <c r="M42" s="77" t="n"/>
      <c r="N42" s="77" t="n">
        <v>67.34999999999999</v>
      </c>
      <c r="O42" s="77" t="n"/>
      <c r="P42" s="77" t="inlineStr">
        <is>
          <t>未磷酸化</t>
        </is>
      </c>
      <c r="Q42" s="77" t="inlineStr">
        <is>
          <t>未环化</t>
        </is>
      </c>
    </row>
    <row r="43" ht="30" customHeight="1" s="80">
      <c r="A43" s="159" t="n"/>
      <c r="B43" s="155" t="inlineStr">
        <is>
          <t>HGC-Lib-26084349</t>
        </is>
      </c>
      <c r="C43" s="155" t="n">
        <v>66.06999999999999</v>
      </c>
      <c r="D43" s="156" t="n">
        <v>6</v>
      </c>
      <c r="E43" s="157" t="n">
        <v>0.543</v>
      </c>
      <c r="F43" s="157">
        <f>ROUND(E43/C43*G126,3)</f>
        <v/>
      </c>
      <c r="G43" s="155" t="inlineStr">
        <is>
          <t>mRNA</t>
        </is>
      </c>
      <c r="H43" s="155" t="inlineStr">
        <is>
          <t>江西烈冰生物科技有限公司</t>
        </is>
      </c>
      <c r="I43" s="157" t="n"/>
      <c r="J43" s="155" t="n"/>
      <c r="K43" s="155" t="n"/>
      <c r="L43" s="77" t="inlineStr">
        <is>
          <t>加急</t>
        </is>
      </c>
      <c r="M43" s="77" t="n"/>
      <c r="N43" s="77" t="n">
        <v>66.06999999999999</v>
      </c>
      <c r="O43" s="77" t="n"/>
      <c r="P43" s="77" t="inlineStr">
        <is>
          <t>未磷酸化</t>
        </is>
      </c>
      <c r="Q43" s="77" t="inlineStr">
        <is>
          <t>未环化</t>
        </is>
      </c>
    </row>
    <row r="44" ht="30" customHeight="1" s="80">
      <c r="A44" s="159" t="n"/>
      <c r="B44" s="155" t="inlineStr">
        <is>
          <t>HGC-Lib-26084350</t>
        </is>
      </c>
      <c r="C44" s="155" t="n">
        <v>69.48</v>
      </c>
      <c r="D44" s="156" t="n">
        <v>6</v>
      </c>
      <c r="E44" s="157" t="n">
        <v>0.543</v>
      </c>
      <c r="F44" s="157">
        <f>ROUND(E44/C44*G126,3)</f>
        <v/>
      </c>
      <c r="G44" s="155" t="inlineStr">
        <is>
          <t>mRNA</t>
        </is>
      </c>
      <c r="H44" s="155" t="inlineStr">
        <is>
          <t>江西烈冰生物科技有限公司</t>
        </is>
      </c>
      <c r="I44" s="157" t="n"/>
      <c r="J44" s="155" t="n"/>
      <c r="K44" s="155" t="n"/>
      <c r="L44" s="77" t="inlineStr">
        <is>
          <t>加急</t>
        </is>
      </c>
      <c r="M44" s="77" t="n"/>
      <c r="N44" s="77" t="n">
        <v>69.48</v>
      </c>
      <c r="O44" s="77" t="n"/>
      <c r="P44" s="77" t="inlineStr">
        <is>
          <t>未磷酸化</t>
        </is>
      </c>
      <c r="Q44" s="77" t="inlineStr">
        <is>
          <t>未环化</t>
        </is>
      </c>
    </row>
    <row r="45" ht="30" customHeight="1" s="80">
      <c r="A45" s="159" t="n"/>
      <c r="B45" s="155" t="inlineStr">
        <is>
          <t>HGC-Lib-26084351</t>
        </is>
      </c>
      <c r="C45" s="155" t="n">
        <v>67.56</v>
      </c>
      <c r="D45" s="156" t="n">
        <v>6</v>
      </c>
      <c r="E45" s="157" t="n">
        <v>0.543</v>
      </c>
      <c r="F45" s="157">
        <f>ROUND(E45/C45*G126,3)</f>
        <v/>
      </c>
      <c r="G45" s="155" t="inlineStr">
        <is>
          <t>mRNA</t>
        </is>
      </c>
      <c r="H45" s="155" t="inlineStr">
        <is>
          <t>江西烈冰生物科技有限公司</t>
        </is>
      </c>
      <c r="I45" s="157" t="n"/>
      <c r="J45" s="155" t="n"/>
      <c r="K45" s="155" t="n"/>
      <c r="L45" s="77" t="inlineStr">
        <is>
          <t>加急</t>
        </is>
      </c>
      <c r="M45" s="77" t="n"/>
      <c r="N45" s="77" t="n">
        <v>67.56</v>
      </c>
      <c r="O45" s="77" t="n"/>
      <c r="P45" s="77" t="inlineStr">
        <is>
          <t>未磷酸化</t>
        </is>
      </c>
      <c r="Q45" s="77" t="inlineStr">
        <is>
          <t>未环化</t>
        </is>
      </c>
    </row>
    <row r="46" ht="30" customHeight="1" s="80">
      <c r="A46" s="159" t="n"/>
      <c r="B46" s="155" t="inlineStr">
        <is>
          <t>HGC-Lib-26084352</t>
        </is>
      </c>
      <c r="C46" s="155" t="n">
        <v>67.12</v>
      </c>
      <c r="D46" s="156" t="n">
        <v>6</v>
      </c>
      <c r="E46" s="157" t="n">
        <v>0.543</v>
      </c>
      <c r="F46" s="157">
        <f>ROUND(E46/C46*G126,3)</f>
        <v/>
      </c>
      <c r="G46" s="155" t="inlineStr">
        <is>
          <t>mRNA</t>
        </is>
      </c>
      <c r="H46" s="155" t="inlineStr">
        <is>
          <t>江西烈冰生物科技有限公司</t>
        </is>
      </c>
      <c r="I46" s="157" t="n"/>
      <c r="J46" s="155" t="n"/>
      <c r="K46" s="155" t="n"/>
      <c r="L46" s="77" t="inlineStr">
        <is>
          <t>加急</t>
        </is>
      </c>
      <c r="M46" s="77" t="n"/>
      <c r="N46" s="77" t="n">
        <v>67.12</v>
      </c>
      <c r="O46" s="77" t="n"/>
      <c r="P46" s="77" t="inlineStr">
        <is>
          <t>未磷酸化</t>
        </is>
      </c>
      <c r="Q46" s="77" t="inlineStr">
        <is>
          <t>未环化</t>
        </is>
      </c>
    </row>
    <row r="47" ht="30" customHeight="1" s="80">
      <c r="A47" s="159" t="n"/>
      <c r="B47" s="155" t="inlineStr">
        <is>
          <t>HGC-Lib-26084353</t>
        </is>
      </c>
      <c r="C47" s="155" t="n">
        <v>65.92</v>
      </c>
      <c r="D47" s="156" t="n">
        <v>6</v>
      </c>
      <c r="E47" s="157" t="n">
        <v>0.543</v>
      </c>
      <c r="F47" s="157">
        <f>ROUND(E47/C47*G126,3)</f>
        <v/>
      </c>
      <c r="G47" s="155" t="inlineStr">
        <is>
          <t>mRNA</t>
        </is>
      </c>
      <c r="H47" s="155" t="inlineStr">
        <is>
          <t>江西烈冰生物科技有限公司</t>
        </is>
      </c>
      <c r="I47" s="157" t="n"/>
      <c r="J47" s="155" t="n"/>
      <c r="K47" s="155" t="n"/>
      <c r="L47" s="77" t="inlineStr">
        <is>
          <t>加急</t>
        </is>
      </c>
      <c r="M47" s="77" t="n"/>
      <c r="N47" s="77" t="n">
        <v>65.92</v>
      </c>
      <c r="O47" s="77" t="n"/>
      <c r="P47" s="77" t="inlineStr">
        <is>
          <t>未磷酸化</t>
        </is>
      </c>
      <c r="Q47" s="77" t="inlineStr">
        <is>
          <t>未环化</t>
        </is>
      </c>
    </row>
    <row r="48" ht="30" customHeight="1" s="80">
      <c r="A48" s="159" t="n"/>
      <c r="B48" s="155" t="inlineStr">
        <is>
          <t>HGC-Lib-26084354</t>
        </is>
      </c>
      <c r="C48" s="155" t="n">
        <v>66.39</v>
      </c>
      <c r="D48" s="156" t="n">
        <v>6</v>
      </c>
      <c r="E48" s="157" t="n">
        <v>0.543</v>
      </c>
      <c r="F48" s="157">
        <f>ROUND(E48/C48*G126,3)</f>
        <v/>
      </c>
      <c r="G48" s="155" t="inlineStr">
        <is>
          <t>mRNA</t>
        </is>
      </c>
      <c r="H48" s="155" t="inlineStr">
        <is>
          <t>江西烈冰生物科技有限公司</t>
        </is>
      </c>
      <c r="I48" s="157" t="n"/>
      <c r="J48" s="155" t="n"/>
      <c r="K48" s="155" t="n"/>
      <c r="L48" s="77" t="inlineStr">
        <is>
          <t>加急</t>
        </is>
      </c>
      <c r="M48" s="77" t="n"/>
      <c r="N48" s="77" t="n">
        <v>66.39</v>
      </c>
      <c r="O48" s="77" t="n"/>
      <c r="P48" s="77" t="inlineStr">
        <is>
          <t>未磷酸化</t>
        </is>
      </c>
      <c r="Q48" s="77" t="inlineStr">
        <is>
          <t>未环化</t>
        </is>
      </c>
    </row>
    <row r="49" ht="30" customHeight="1" s="80">
      <c r="A49" s="159" t="n"/>
      <c r="B49" s="155" t="inlineStr">
        <is>
          <t>HGC-Lib-26084355</t>
        </is>
      </c>
      <c r="C49" s="155" t="n">
        <v>65.44</v>
      </c>
      <c r="D49" s="156" t="n">
        <v>6</v>
      </c>
      <c r="E49" s="157" t="n">
        <v>0.543</v>
      </c>
      <c r="F49" s="157">
        <f>ROUND(E49/C49*G126,3)</f>
        <v/>
      </c>
      <c r="G49" s="155" t="inlineStr">
        <is>
          <t>mRNA</t>
        </is>
      </c>
      <c r="H49" s="155" t="inlineStr">
        <is>
          <t>江西烈冰生物科技有限公司</t>
        </is>
      </c>
      <c r="I49" s="157" t="n"/>
      <c r="J49" s="155" t="n"/>
      <c r="K49" s="155" t="n"/>
      <c r="L49" s="77" t="inlineStr">
        <is>
          <t>加急</t>
        </is>
      </c>
      <c r="M49" s="77" t="n"/>
      <c r="N49" s="77" t="n">
        <v>65.44</v>
      </c>
      <c r="O49" s="77" t="n"/>
      <c r="P49" s="77" t="inlineStr">
        <is>
          <t>未磷酸化</t>
        </is>
      </c>
      <c r="Q49" s="77" t="inlineStr">
        <is>
          <t>未环化</t>
        </is>
      </c>
    </row>
    <row r="50" ht="30" customHeight="1" s="80">
      <c r="A50" s="159" t="n"/>
      <c r="B50" s="155" t="inlineStr">
        <is>
          <t>HGC-Lib-26084356</t>
        </is>
      </c>
      <c r="C50" s="155" t="n">
        <v>58.81</v>
      </c>
      <c r="D50" s="156" t="n">
        <v>6</v>
      </c>
      <c r="E50" s="157" t="n">
        <v>0.543</v>
      </c>
      <c r="F50" s="157">
        <f>ROUND(E50/C50*G126,3)</f>
        <v/>
      </c>
      <c r="G50" s="155" t="inlineStr">
        <is>
          <t>mRNA</t>
        </is>
      </c>
      <c r="H50" s="155" t="inlineStr">
        <is>
          <t>江西烈冰生物科技有限公司</t>
        </is>
      </c>
      <c r="I50" s="157" t="n"/>
      <c r="J50" s="155" t="n"/>
      <c r="K50" s="155" t="n"/>
      <c r="L50" s="77" t="inlineStr">
        <is>
          <t>加急</t>
        </is>
      </c>
      <c r="M50" s="77" t="n"/>
      <c r="N50" s="77" t="n">
        <v>58.81</v>
      </c>
      <c r="O50" s="77" t="n"/>
      <c r="P50" s="77" t="inlineStr">
        <is>
          <t>未磷酸化</t>
        </is>
      </c>
      <c r="Q50" s="77" t="inlineStr">
        <is>
          <t>未环化</t>
        </is>
      </c>
    </row>
    <row r="51" ht="30" customHeight="1" s="80">
      <c r="A51" s="159" t="n"/>
      <c r="B51" s="155" t="inlineStr">
        <is>
          <t>HGC-Lib-26084361</t>
        </is>
      </c>
      <c r="C51" s="155" t="n">
        <v>67.92</v>
      </c>
      <c r="D51" s="156" t="n">
        <v>6</v>
      </c>
      <c r="E51" s="157" t="n">
        <v>0.543</v>
      </c>
      <c r="F51" s="157">
        <f>ROUND(E51/C51*G126,3)</f>
        <v/>
      </c>
      <c r="G51" s="155" t="inlineStr">
        <is>
          <t>mRNA</t>
        </is>
      </c>
      <c r="H51" s="155" t="inlineStr">
        <is>
          <t>江西烈冰生物科技有限公司</t>
        </is>
      </c>
      <c r="I51" s="157" t="n"/>
      <c r="J51" s="155" t="n"/>
      <c r="K51" s="155" t="n"/>
      <c r="L51" s="77" t="inlineStr">
        <is>
          <t>加急</t>
        </is>
      </c>
      <c r="M51" s="77" t="n"/>
      <c r="N51" s="77" t="n">
        <v>67.92</v>
      </c>
      <c r="O51" s="77" t="n"/>
      <c r="P51" s="77" t="inlineStr">
        <is>
          <t>未磷酸化</t>
        </is>
      </c>
      <c r="Q51" s="77" t="inlineStr">
        <is>
          <t>未环化</t>
        </is>
      </c>
    </row>
    <row r="52" ht="30" customHeight="1" s="80">
      <c r="A52" s="159" t="n"/>
      <c r="B52" s="155" t="inlineStr">
        <is>
          <t>HGC-Lib-26084362</t>
        </is>
      </c>
      <c r="C52" s="155" t="n">
        <v>69.56</v>
      </c>
      <c r="D52" s="156" t="n">
        <v>6</v>
      </c>
      <c r="E52" s="157" t="n">
        <v>0.543</v>
      </c>
      <c r="F52" s="157">
        <f>ROUND(E52/C52*G126,3)</f>
        <v/>
      </c>
      <c r="G52" s="155" t="inlineStr">
        <is>
          <t>mRNA</t>
        </is>
      </c>
      <c r="H52" s="155" t="inlineStr">
        <is>
          <t>江西烈冰生物科技有限公司</t>
        </is>
      </c>
      <c r="I52" s="157" t="n"/>
      <c r="J52" s="155" t="n"/>
      <c r="K52" s="155" t="n"/>
      <c r="L52" s="77" t="inlineStr">
        <is>
          <t>加急</t>
        </is>
      </c>
      <c r="M52" s="77" t="n"/>
      <c r="N52" s="77" t="n">
        <v>69.56</v>
      </c>
      <c r="O52" s="77" t="n"/>
      <c r="P52" s="77" t="inlineStr">
        <is>
          <t>未磷酸化</t>
        </is>
      </c>
      <c r="Q52" s="77" t="inlineStr">
        <is>
          <t>未环化</t>
        </is>
      </c>
    </row>
    <row r="53" ht="30" customHeight="1" s="80">
      <c r="A53" s="159" t="n"/>
      <c r="B53" s="155" t="inlineStr">
        <is>
          <t>HGC-Lib-26084363</t>
        </is>
      </c>
      <c r="C53" s="155" t="n">
        <v>64.67</v>
      </c>
      <c r="D53" s="156" t="n">
        <v>6</v>
      </c>
      <c r="E53" s="157" t="n">
        <v>0.543</v>
      </c>
      <c r="F53" s="157">
        <f>ROUND(E53/C53*G126,3)</f>
        <v/>
      </c>
      <c r="G53" s="155" t="inlineStr">
        <is>
          <t>mRNA</t>
        </is>
      </c>
      <c r="H53" s="155" t="inlineStr">
        <is>
          <t>江西烈冰生物科技有限公司</t>
        </is>
      </c>
      <c r="I53" s="157" t="n"/>
      <c r="J53" s="155" t="n"/>
      <c r="K53" s="155" t="n"/>
      <c r="L53" s="77" t="inlineStr">
        <is>
          <t>加急</t>
        </is>
      </c>
      <c r="M53" s="77" t="n"/>
      <c r="N53" s="77" t="n">
        <v>64.67</v>
      </c>
      <c r="O53" s="77" t="n"/>
      <c r="P53" s="77" t="inlineStr">
        <is>
          <t>未磷酸化</t>
        </is>
      </c>
      <c r="Q53" s="77" t="inlineStr">
        <is>
          <t>未环化</t>
        </is>
      </c>
    </row>
    <row r="54" ht="30" customHeight="1" s="80">
      <c r="A54" s="159" t="n"/>
      <c r="B54" s="155" t="inlineStr">
        <is>
          <t>HGC-Lib-26084364</t>
        </is>
      </c>
      <c r="C54" s="155" t="n">
        <v>60.83</v>
      </c>
      <c r="D54" s="156" t="n">
        <v>6</v>
      </c>
      <c r="E54" s="157" t="n">
        <v>0.543</v>
      </c>
      <c r="F54" s="157">
        <f>ROUND(E54/C54*G126,3)</f>
        <v/>
      </c>
      <c r="G54" s="155" t="inlineStr">
        <is>
          <t>mRNA</t>
        </is>
      </c>
      <c r="H54" s="155" t="inlineStr">
        <is>
          <t>江西烈冰生物科技有限公司</t>
        </is>
      </c>
      <c r="I54" s="157" t="n"/>
      <c r="J54" s="155" t="n"/>
      <c r="K54" s="155" t="n"/>
      <c r="L54" s="77" t="inlineStr">
        <is>
          <t>加急</t>
        </is>
      </c>
      <c r="M54" s="77" t="n"/>
      <c r="N54" s="77" t="n">
        <v>60.83</v>
      </c>
      <c r="O54" s="77" t="n"/>
      <c r="P54" s="77" t="inlineStr">
        <is>
          <t>未磷酸化</t>
        </is>
      </c>
      <c r="Q54" s="77" t="inlineStr">
        <is>
          <t>未环化</t>
        </is>
      </c>
    </row>
    <row r="55" ht="30" customHeight="1" s="80">
      <c r="A55" s="159" t="n"/>
      <c r="B55" s="155" t="inlineStr">
        <is>
          <t>HGC-Lib-26084365</t>
        </is>
      </c>
      <c r="C55" s="155" t="n">
        <v>71.09</v>
      </c>
      <c r="D55" s="156" t="n">
        <v>6</v>
      </c>
      <c r="E55" s="157" t="n">
        <v>0.543</v>
      </c>
      <c r="F55" s="157">
        <f>ROUND(E55/C55*G126,3)</f>
        <v/>
      </c>
      <c r="G55" s="155" t="inlineStr">
        <is>
          <t>mRNA</t>
        </is>
      </c>
      <c r="H55" s="155" t="inlineStr">
        <is>
          <t>江西烈冰生物科技有限公司</t>
        </is>
      </c>
      <c r="I55" s="157" t="n"/>
      <c r="J55" s="155" t="n"/>
      <c r="K55" s="155" t="n"/>
      <c r="L55" s="77" t="inlineStr">
        <is>
          <t>加急</t>
        </is>
      </c>
      <c r="M55" s="77" t="n"/>
      <c r="N55" s="77" t="n">
        <v>71.09</v>
      </c>
      <c r="O55" s="77" t="n"/>
      <c r="P55" s="77" t="inlineStr">
        <is>
          <t>未磷酸化</t>
        </is>
      </c>
      <c r="Q55" s="77" t="inlineStr">
        <is>
          <t>未环化</t>
        </is>
      </c>
    </row>
    <row r="56" ht="30" customHeight="1" s="80">
      <c r="A56" s="159" t="n"/>
      <c r="B56" s="155" t="inlineStr">
        <is>
          <t>HGC-Lib-26084366</t>
        </is>
      </c>
      <c r="C56" s="155" t="n">
        <v>63.84</v>
      </c>
      <c r="D56" s="156" t="n">
        <v>6</v>
      </c>
      <c r="E56" s="157" t="n">
        <v>0.543</v>
      </c>
      <c r="F56" s="157">
        <f>ROUND(E56/C56*G126,3)</f>
        <v/>
      </c>
      <c r="G56" s="155" t="inlineStr">
        <is>
          <t>mRNA</t>
        </is>
      </c>
      <c r="H56" s="155" t="inlineStr">
        <is>
          <t>江西烈冰生物科技有限公司</t>
        </is>
      </c>
      <c r="I56" s="157" t="n"/>
      <c r="J56" s="155" t="n"/>
      <c r="K56" s="155" t="n"/>
      <c r="L56" s="77" t="inlineStr">
        <is>
          <t>加急</t>
        </is>
      </c>
      <c r="M56" s="77" t="n"/>
      <c r="N56" s="77" t="n">
        <v>63.84</v>
      </c>
      <c r="O56" s="77" t="n"/>
      <c r="P56" s="77" t="inlineStr">
        <is>
          <t>未磷酸化</t>
        </is>
      </c>
      <c r="Q56" s="77" t="inlineStr">
        <is>
          <t>未环化</t>
        </is>
      </c>
    </row>
    <row r="57" ht="30" customHeight="1" s="80">
      <c r="A57" s="159" t="n"/>
      <c r="B57" s="155" t="inlineStr">
        <is>
          <t>HGC-Lib-26084367</t>
        </is>
      </c>
      <c r="C57" s="155" t="n">
        <v>72.62</v>
      </c>
      <c r="D57" s="156" t="n">
        <v>6</v>
      </c>
      <c r="E57" s="157" t="n">
        <v>0.543</v>
      </c>
      <c r="F57" s="157">
        <f>ROUND(E57/C57*G126,3)</f>
        <v/>
      </c>
      <c r="G57" s="155" t="inlineStr">
        <is>
          <t>mRNA</t>
        </is>
      </c>
      <c r="H57" s="155" t="inlineStr">
        <is>
          <t>江西烈冰生物科技有限公司</t>
        </is>
      </c>
      <c r="I57" s="157" t="n"/>
      <c r="J57" s="155" t="n"/>
      <c r="K57" s="155" t="n"/>
      <c r="L57" s="77" t="inlineStr">
        <is>
          <t>加急</t>
        </is>
      </c>
      <c r="M57" s="77" t="n"/>
      <c r="N57" s="77" t="n">
        <v>72.62</v>
      </c>
      <c r="O57" s="77" t="n"/>
      <c r="P57" s="77" t="inlineStr">
        <is>
          <t>未磷酸化</t>
        </is>
      </c>
      <c r="Q57" s="77" t="inlineStr">
        <is>
          <t>未环化</t>
        </is>
      </c>
    </row>
    <row r="58" ht="30" customHeight="1" s="80">
      <c r="A58" s="159" t="n"/>
      <c r="B58" s="155" t="inlineStr">
        <is>
          <t>HGC-Lib-26084368</t>
        </is>
      </c>
      <c r="C58" s="155" t="n">
        <v>50.63</v>
      </c>
      <c r="D58" s="156" t="n">
        <v>6</v>
      </c>
      <c r="E58" s="157" t="n">
        <v>0.543</v>
      </c>
      <c r="F58" s="157">
        <f>ROUND(E58/C58*G126,3)</f>
        <v/>
      </c>
      <c r="G58" s="155" t="inlineStr">
        <is>
          <t>mRNA</t>
        </is>
      </c>
      <c r="H58" s="155" t="inlineStr">
        <is>
          <t>江西烈冰生物科技有限公司</t>
        </is>
      </c>
      <c r="I58" s="157" t="n"/>
      <c r="J58" s="155" t="n"/>
      <c r="K58" s="155" t="n"/>
      <c r="L58" s="77" t="inlineStr">
        <is>
          <t>加急</t>
        </is>
      </c>
      <c r="M58" s="77" t="n"/>
      <c r="N58" s="77" t="n">
        <v>50.63</v>
      </c>
      <c r="O58" s="77" t="n"/>
      <c r="P58" s="77" t="inlineStr">
        <is>
          <t>未磷酸化</t>
        </is>
      </c>
      <c r="Q58" s="77" t="inlineStr">
        <is>
          <t>未环化</t>
        </is>
      </c>
    </row>
    <row r="59" ht="30" customHeight="1" s="80">
      <c r="A59" s="159" t="n"/>
      <c r="B59" s="155" t="inlineStr">
        <is>
          <t>HGC-Lib-26084369</t>
        </is>
      </c>
      <c r="C59" s="155" t="n">
        <v>58.91</v>
      </c>
      <c r="D59" s="156" t="n">
        <v>6</v>
      </c>
      <c r="E59" s="157" t="n">
        <v>0.543</v>
      </c>
      <c r="F59" s="157">
        <f>ROUND(E59/C59*G126,3)</f>
        <v/>
      </c>
      <c r="G59" s="155" t="inlineStr">
        <is>
          <t>mRNA</t>
        </is>
      </c>
      <c r="H59" s="155" t="inlineStr">
        <is>
          <t>江西烈冰生物科技有限公司</t>
        </is>
      </c>
      <c r="I59" s="157" t="n"/>
      <c r="J59" s="155" t="n"/>
      <c r="K59" s="155" t="n"/>
      <c r="L59" s="77" t="inlineStr">
        <is>
          <t>加急</t>
        </is>
      </c>
      <c r="M59" s="77" t="n"/>
      <c r="N59" s="77" t="n">
        <v>58.91</v>
      </c>
      <c r="O59" s="77" t="n"/>
      <c r="P59" s="77" t="inlineStr">
        <is>
          <t>未磷酸化</t>
        </is>
      </c>
      <c r="Q59" s="77" t="inlineStr">
        <is>
          <t>未环化</t>
        </is>
      </c>
    </row>
    <row r="60" ht="30" customHeight="1" s="80">
      <c r="A60" s="159" t="n"/>
      <c r="B60" s="155" t="inlineStr">
        <is>
          <t>HGC-Lib-26084370</t>
        </is>
      </c>
      <c r="C60" s="155" t="n">
        <v>33.33</v>
      </c>
      <c r="D60" s="156" t="n">
        <v>6</v>
      </c>
      <c r="E60" s="157" t="n">
        <v>0.543</v>
      </c>
      <c r="F60" s="157">
        <f>ROUND(E60/C60*G126,3)</f>
        <v/>
      </c>
      <c r="G60" s="155" t="inlineStr">
        <is>
          <t>mRNA</t>
        </is>
      </c>
      <c r="H60" s="155" t="inlineStr">
        <is>
          <t>江西烈冰生物科技有限公司</t>
        </is>
      </c>
      <c r="I60" s="157" t="n"/>
      <c r="J60" s="155" t="n"/>
      <c r="K60" s="155" t="n"/>
      <c r="L60" s="77" t="inlineStr">
        <is>
          <t>加急</t>
        </is>
      </c>
      <c r="M60" s="77" t="n"/>
      <c r="N60" s="77" t="n">
        <v>33.33</v>
      </c>
      <c r="O60" s="77" t="n"/>
      <c r="P60" s="77" t="inlineStr">
        <is>
          <t>未磷酸化</t>
        </is>
      </c>
      <c r="Q60" s="77" t="inlineStr">
        <is>
          <t>未环化</t>
        </is>
      </c>
    </row>
    <row r="61" ht="30" customHeight="1" s="80">
      <c r="A61" s="159" t="n"/>
      <c r="B61" s="155" t="inlineStr">
        <is>
          <t>HGC-Lib-26084371</t>
        </is>
      </c>
      <c r="C61" s="155" t="n">
        <v>72.51000000000001</v>
      </c>
      <c r="D61" s="156" t="n">
        <v>6</v>
      </c>
      <c r="E61" s="157" t="n">
        <v>0.543</v>
      </c>
      <c r="F61" s="157">
        <f>ROUND(E61/C61*G126,3)</f>
        <v/>
      </c>
      <c r="G61" s="155" t="inlineStr">
        <is>
          <t>mRNA</t>
        </is>
      </c>
      <c r="H61" s="155" t="inlineStr">
        <is>
          <t>江西烈冰生物科技有限公司</t>
        </is>
      </c>
      <c r="I61" s="157" t="n"/>
      <c r="J61" s="155" t="n"/>
      <c r="K61" s="155" t="n"/>
      <c r="L61" s="77" t="inlineStr">
        <is>
          <t>加急</t>
        </is>
      </c>
      <c r="M61" s="77" t="n"/>
      <c r="N61" s="77" t="n">
        <v>72.51000000000001</v>
      </c>
      <c r="O61" s="77" t="n"/>
      <c r="P61" s="77" t="inlineStr">
        <is>
          <t>未磷酸化</t>
        </is>
      </c>
      <c r="Q61" s="77" t="inlineStr">
        <is>
          <t>未环化</t>
        </is>
      </c>
    </row>
    <row r="62" ht="30" customHeight="1" s="80">
      <c r="A62" s="159" t="n"/>
      <c r="B62" s="155" t="inlineStr">
        <is>
          <t>HGC-Lib-26084372</t>
        </is>
      </c>
      <c r="C62" s="155" t="n">
        <v>75.23999999999999</v>
      </c>
      <c r="D62" s="156" t="n">
        <v>6</v>
      </c>
      <c r="E62" s="157" t="n">
        <v>0.543</v>
      </c>
      <c r="F62" s="157">
        <f>ROUND(E62/C62*G126,3)</f>
        <v/>
      </c>
      <c r="G62" s="155" t="inlineStr">
        <is>
          <t>mRNA</t>
        </is>
      </c>
      <c r="H62" s="155" t="inlineStr">
        <is>
          <t>江西烈冰生物科技有限公司</t>
        </is>
      </c>
      <c r="I62" s="157" t="n"/>
      <c r="J62" s="155" t="n"/>
      <c r="K62" s="155" t="n"/>
      <c r="L62" s="77" t="inlineStr">
        <is>
          <t>加急</t>
        </is>
      </c>
      <c r="M62" s="77" t="n"/>
      <c r="N62" s="77" t="n">
        <v>75.23999999999999</v>
      </c>
      <c r="O62" s="77" t="n"/>
      <c r="P62" s="77" t="inlineStr">
        <is>
          <t>未磷酸化</t>
        </is>
      </c>
      <c r="Q62" s="77" t="inlineStr">
        <is>
          <t>未环化</t>
        </is>
      </c>
    </row>
    <row r="63" ht="30" customHeight="1" s="80">
      <c r="A63" s="159" t="n"/>
      <c r="B63" s="155" t="inlineStr">
        <is>
          <t>HGC-Lib-26084373</t>
        </is>
      </c>
      <c r="C63" s="155" t="n">
        <v>48.73</v>
      </c>
      <c r="D63" s="156" t="n">
        <v>6</v>
      </c>
      <c r="E63" s="157" t="n">
        <v>0.543</v>
      </c>
      <c r="F63" s="157">
        <f>ROUND(E63/C63*G126,3)</f>
        <v/>
      </c>
      <c r="G63" s="155" t="inlineStr">
        <is>
          <t>mRNA</t>
        </is>
      </c>
      <c r="H63" s="155" t="inlineStr">
        <is>
          <t>江西烈冰生物科技有限公司</t>
        </is>
      </c>
      <c r="I63" s="157" t="n"/>
      <c r="J63" s="155" t="n"/>
      <c r="K63" s="155" t="n"/>
      <c r="L63" s="77" t="inlineStr">
        <is>
          <t>加急</t>
        </is>
      </c>
      <c r="M63" s="77" t="n"/>
      <c r="N63" s="77" t="n">
        <v>48.73</v>
      </c>
      <c r="O63" s="77" t="n"/>
      <c r="P63" s="77" t="inlineStr">
        <is>
          <t>未磷酸化</t>
        </is>
      </c>
      <c r="Q63" s="77" t="inlineStr">
        <is>
          <t>未环化</t>
        </is>
      </c>
    </row>
    <row r="64" ht="30" customHeight="1" s="80">
      <c r="A64" s="159" t="n"/>
      <c r="B64" s="155" t="inlineStr">
        <is>
          <t>HGC-Lib-26084374</t>
        </is>
      </c>
      <c r="C64" s="155" t="n">
        <v>65.8</v>
      </c>
      <c r="D64" s="156" t="n">
        <v>6</v>
      </c>
      <c r="E64" s="157" t="n">
        <v>0.543</v>
      </c>
      <c r="F64" s="157">
        <f>ROUND(E64/C64*G126,3)</f>
        <v/>
      </c>
      <c r="G64" s="155" t="inlineStr">
        <is>
          <t>mRNA</t>
        </is>
      </c>
      <c r="H64" s="155" t="inlineStr">
        <is>
          <t>江西烈冰生物科技有限公司</t>
        </is>
      </c>
      <c r="I64" s="157" t="n"/>
      <c r="J64" s="155" t="n"/>
      <c r="K64" s="155" t="n"/>
      <c r="L64" s="77" t="inlineStr">
        <is>
          <t>加急</t>
        </is>
      </c>
      <c r="M64" s="77" t="n"/>
      <c r="N64" s="77" t="n">
        <v>65.8</v>
      </c>
      <c r="O64" s="77" t="n"/>
      <c r="P64" s="77" t="inlineStr">
        <is>
          <t>未磷酸化</t>
        </is>
      </c>
      <c r="Q64" s="77" t="inlineStr">
        <is>
          <t>未环化</t>
        </is>
      </c>
    </row>
    <row r="65" ht="30" customHeight="1" s="80">
      <c r="A65" s="159" t="n"/>
      <c r="B65" s="155" t="inlineStr">
        <is>
          <t>HGC-Lib-26084375</t>
        </is>
      </c>
      <c r="C65" s="155" t="n">
        <v>65.70999999999999</v>
      </c>
      <c r="D65" s="156" t="n">
        <v>6</v>
      </c>
      <c r="E65" s="157" t="n">
        <v>0.543</v>
      </c>
      <c r="F65" s="157">
        <f>ROUND(E65/C65*G126,3)</f>
        <v/>
      </c>
      <c r="G65" s="155" t="inlineStr">
        <is>
          <t>mRNA</t>
        </is>
      </c>
      <c r="H65" s="155" t="inlineStr">
        <is>
          <t>江西烈冰生物科技有限公司</t>
        </is>
      </c>
      <c r="I65" s="157" t="n"/>
      <c r="J65" s="155" t="n"/>
      <c r="K65" s="155" t="n"/>
      <c r="L65" s="77" t="inlineStr">
        <is>
          <t>加急</t>
        </is>
      </c>
      <c r="M65" s="77" t="n"/>
      <c r="N65" s="77" t="n">
        <v>65.70999999999999</v>
      </c>
      <c r="O65" s="77" t="n"/>
      <c r="P65" s="77" t="inlineStr">
        <is>
          <t>未磷酸化</t>
        </is>
      </c>
      <c r="Q65" s="77" t="inlineStr">
        <is>
          <t>未环化</t>
        </is>
      </c>
    </row>
    <row r="66" ht="30" customHeight="1" s="80">
      <c r="A66" s="159" t="n"/>
      <c r="B66" s="155" t="inlineStr">
        <is>
          <t>HGC-Lib-26084376</t>
        </is>
      </c>
      <c r="C66" s="155" t="n">
        <v>55.74</v>
      </c>
      <c r="D66" s="156" t="n">
        <v>6</v>
      </c>
      <c r="E66" s="157" t="n">
        <v>0.543</v>
      </c>
      <c r="F66" s="157">
        <f>ROUND(E66/C66*G126,3)</f>
        <v/>
      </c>
      <c r="G66" s="155" t="inlineStr">
        <is>
          <t>mRNA</t>
        </is>
      </c>
      <c r="H66" s="155" t="inlineStr">
        <is>
          <t>江西烈冰生物科技有限公司</t>
        </is>
      </c>
      <c r="I66" s="157" t="n"/>
      <c r="J66" s="155" t="n"/>
      <c r="K66" s="155" t="n"/>
      <c r="L66" s="77" t="inlineStr">
        <is>
          <t>加急</t>
        </is>
      </c>
      <c r="M66" s="77" t="n"/>
      <c r="N66" s="77" t="n">
        <v>55.74</v>
      </c>
      <c r="O66" s="77" t="n"/>
      <c r="P66" s="77" t="inlineStr">
        <is>
          <t>未磷酸化</t>
        </is>
      </c>
      <c r="Q66" s="77" t="inlineStr">
        <is>
          <t>未环化</t>
        </is>
      </c>
    </row>
    <row r="67" ht="30" customHeight="1" s="80">
      <c r="A67" s="159" t="n"/>
      <c r="B67" s="155" t="inlineStr">
        <is>
          <t>HGC-Lib-26084377</t>
        </is>
      </c>
      <c r="C67" s="155" t="n">
        <v>73.02</v>
      </c>
      <c r="D67" s="156" t="n">
        <v>6</v>
      </c>
      <c r="E67" s="157" t="n">
        <v>0.543</v>
      </c>
      <c r="F67" s="157">
        <f>ROUND(E67/C67*G126,3)</f>
        <v/>
      </c>
      <c r="G67" s="155" t="inlineStr">
        <is>
          <t>mRNA</t>
        </is>
      </c>
      <c r="H67" s="155" t="inlineStr">
        <is>
          <t>江西烈冰生物科技有限公司</t>
        </is>
      </c>
      <c r="I67" s="157" t="n"/>
      <c r="J67" s="155" t="n"/>
      <c r="K67" s="155" t="n"/>
      <c r="L67" s="77" t="inlineStr">
        <is>
          <t>加急</t>
        </is>
      </c>
      <c r="M67" s="77" t="n"/>
      <c r="N67" s="77" t="n">
        <v>73.02</v>
      </c>
      <c r="O67" s="77" t="n"/>
      <c r="P67" s="77" t="inlineStr">
        <is>
          <t>未磷酸化</t>
        </is>
      </c>
      <c r="Q67" s="77" t="inlineStr">
        <is>
          <t>未环化</t>
        </is>
      </c>
    </row>
    <row r="68" ht="30" customHeight="1" s="80">
      <c r="A68" s="159" t="n"/>
      <c r="B68" s="155" t="inlineStr">
        <is>
          <t>HGC-Lib-26084378</t>
        </is>
      </c>
      <c r="C68" s="155" t="n">
        <v>71.64</v>
      </c>
      <c r="D68" s="156" t="n">
        <v>6</v>
      </c>
      <c r="E68" s="157" t="n">
        <v>0.543</v>
      </c>
      <c r="F68" s="157">
        <f>ROUND(E68/C68*G126,3)</f>
        <v/>
      </c>
      <c r="G68" s="155" t="inlineStr">
        <is>
          <t>mRNA</t>
        </is>
      </c>
      <c r="H68" s="155" t="inlineStr">
        <is>
          <t>江西烈冰生物科技有限公司</t>
        </is>
      </c>
      <c r="I68" s="157" t="n"/>
      <c r="J68" s="155" t="n"/>
      <c r="K68" s="155" t="n"/>
      <c r="L68" s="77" t="inlineStr">
        <is>
          <t>加急</t>
        </is>
      </c>
      <c r="M68" s="77" t="n"/>
      <c r="N68" s="77" t="n">
        <v>71.64</v>
      </c>
      <c r="O68" s="77" t="n"/>
      <c r="P68" s="77" t="inlineStr">
        <is>
          <t>未磷酸化</t>
        </is>
      </c>
      <c r="Q68" s="77" t="inlineStr">
        <is>
          <t>未环化</t>
        </is>
      </c>
    </row>
    <row r="69" ht="30" customHeight="1" s="80">
      <c r="A69" s="159" t="n"/>
      <c r="B69" s="155" t="inlineStr">
        <is>
          <t>HGC-Lib-26084379</t>
        </is>
      </c>
      <c r="C69" s="155" t="n">
        <v>72.26000000000001</v>
      </c>
      <c r="D69" s="156" t="n">
        <v>6</v>
      </c>
      <c r="E69" s="157" t="n">
        <v>0.543</v>
      </c>
      <c r="F69" s="157">
        <f>ROUND(E69/C69*G126,3)</f>
        <v/>
      </c>
      <c r="G69" s="155" t="inlineStr">
        <is>
          <t>mRNA</t>
        </is>
      </c>
      <c r="H69" s="155" t="inlineStr">
        <is>
          <t>江西烈冰生物科技有限公司</t>
        </is>
      </c>
      <c r="I69" s="157" t="n"/>
      <c r="J69" s="155" t="n"/>
      <c r="K69" s="155" t="n"/>
      <c r="L69" s="77" t="inlineStr">
        <is>
          <t>加急</t>
        </is>
      </c>
      <c r="M69" s="77" t="n"/>
      <c r="N69" s="77" t="n">
        <v>72.26000000000001</v>
      </c>
      <c r="O69" s="77" t="n"/>
      <c r="P69" s="77" t="inlineStr">
        <is>
          <t>未磷酸化</t>
        </is>
      </c>
      <c r="Q69" s="77" t="inlineStr">
        <is>
          <t>未环化</t>
        </is>
      </c>
    </row>
    <row r="70" ht="30" customHeight="1" s="80">
      <c r="A70" s="159" t="n"/>
      <c r="B70" s="155" t="inlineStr">
        <is>
          <t>HGC-Lib-26084380</t>
        </is>
      </c>
      <c r="C70" s="155" t="n">
        <v>70.23999999999999</v>
      </c>
      <c r="D70" s="156" t="n">
        <v>6</v>
      </c>
      <c r="E70" s="157" t="n">
        <v>0.543</v>
      </c>
      <c r="F70" s="157">
        <f>ROUND(E70/C70*G126,3)</f>
        <v/>
      </c>
      <c r="G70" s="155" t="inlineStr">
        <is>
          <t>mRNA</t>
        </is>
      </c>
      <c r="H70" s="155" t="inlineStr">
        <is>
          <t>江西烈冰生物科技有限公司</t>
        </is>
      </c>
      <c r="I70" s="157" t="n"/>
      <c r="J70" s="155" t="n"/>
      <c r="K70" s="155" t="n"/>
      <c r="L70" s="77" t="inlineStr">
        <is>
          <t>加急</t>
        </is>
      </c>
      <c r="M70" s="77" t="n"/>
      <c r="N70" s="77" t="n">
        <v>70.23999999999999</v>
      </c>
      <c r="O70" s="77" t="n"/>
      <c r="P70" s="77" t="inlineStr">
        <is>
          <t>未磷酸化</t>
        </is>
      </c>
      <c r="Q70" s="77" t="inlineStr">
        <is>
          <t>未环化</t>
        </is>
      </c>
    </row>
    <row r="71" ht="30" customHeight="1" s="80">
      <c r="A71" s="159" t="n"/>
      <c r="B71" s="155" t="inlineStr">
        <is>
          <t>HGC-Lib-26084381</t>
        </is>
      </c>
      <c r="C71" s="155" t="n">
        <v>67.87</v>
      </c>
      <c r="D71" s="156" t="n">
        <v>6</v>
      </c>
      <c r="E71" s="157" t="n">
        <v>0.543</v>
      </c>
      <c r="F71" s="157">
        <f>ROUND(E71/C71*G126,3)</f>
        <v/>
      </c>
      <c r="G71" s="155" t="inlineStr">
        <is>
          <t>mRNA</t>
        </is>
      </c>
      <c r="H71" s="155" t="inlineStr">
        <is>
          <t>江西烈冰生物科技有限公司</t>
        </is>
      </c>
      <c r="I71" s="157" t="n"/>
      <c r="J71" s="155" t="n"/>
      <c r="K71" s="155" t="n"/>
      <c r="L71" s="77" t="inlineStr">
        <is>
          <t>加急</t>
        </is>
      </c>
      <c r="M71" s="77" t="n"/>
      <c r="N71" s="77" t="n">
        <v>67.87</v>
      </c>
      <c r="O71" s="77" t="n"/>
      <c r="P71" s="77" t="inlineStr">
        <is>
          <t>未磷酸化</t>
        </is>
      </c>
      <c r="Q71" s="77" t="inlineStr">
        <is>
          <t>未环化</t>
        </is>
      </c>
    </row>
    <row r="72" ht="30" customHeight="1" s="80">
      <c r="A72" s="159" t="n"/>
      <c r="B72" s="155" t="inlineStr">
        <is>
          <t>HGC-Lib-26084382</t>
        </is>
      </c>
      <c r="C72" s="155" t="n">
        <v>74.79000000000001</v>
      </c>
      <c r="D72" s="156" t="n">
        <v>6</v>
      </c>
      <c r="E72" s="157" t="n">
        <v>0.543</v>
      </c>
      <c r="F72" s="157">
        <f>ROUND(E72/C72*G126,3)</f>
        <v/>
      </c>
      <c r="G72" s="155" t="inlineStr">
        <is>
          <t>mRNA</t>
        </is>
      </c>
      <c r="H72" s="155" t="inlineStr">
        <is>
          <t>江西烈冰生物科技有限公司</t>
        </is>
      </c>
      <c r="I72" s="157" t="n"/>
      <c r="J72" s="155" t="n"/>
      <c r="K72" s="155" t="n"/>
      <c r="L72" s="77" t="inlineStr">
        <is>
          <t>加急</t>
        </is>
      </c>
      <c r="M72" s="77" t="n"/>
      <c r="N72" s="77" t="n">
        <v>74.79000000000001</v>
      </c>
      <c r="O72" s="77" t="n"/>
      <c r="P72" s="77" t="inlineStr">
        <is>
          <t>未磷酸化</t>
        </is>
      </c>
      <c r="Q72" s="77" t="inlineStr">
        <is>
          <t>未环化</t>
        </is>
      </c>
    </row>
    <row r="73" ht="30" customHeight="1" s="80">
      <c r="A73" s="159" t="n"/>
      <c r="B73" s="155" t="inlineStr">
        <is>
          <t>HGC-Lib-26084383</t>
        </is>
      </c>
      <c r="C73" s="155" t="n">
        <v>66.90000000000001</v>
      </c>
      <c r="D73" s="156" t="n">
        <v>6</v>
      </c>
      <c r="E73" s="157" t="n">
        <v>0.543</v>
      </c>
      <c r="F73" s="157">
        <f>ROUND(E73/C73*G126,3)</f>
        <v/>
      </c>
      <c r="G73" s="155" t="inlineStr">
        <is>
          <t>mRNA</t>
        </is>
      </c>
      <c r="H73" s="155" t="inlineStr">
        <is>
          <t>江西烈冰生物科技有限公司</t>
        </is>
      </c>
      <c r="I73" s="157" t="n"/>
      <c r="J73" s="155" t="n"/>
      <c r="K73" s="155" t="n"/>
      <c r="L73" s="77" t="inlineStr">
        <is>
          <t>加急</t>
        </is>
      </c>
      <c r="M73" s="77" t="n"/>
      <c r="N73" s="77" t="n">
        <v>66.90000000000001</v>
      </c>
      <c r="O73" s="77" t="n"/>
      <c r="P73" s="77" t="inlineStr">
        <is>
          <t>未磷酸化</t>
        </is>
      </c>
      <c r="Q73" s="77" t="inlineStr">
        <is>
          <t>未环化</t>
        </is>
      </c>
    </row>
    <row r="74" ht="30" customHeight="1" s="80">
      <c r="A74" s="159" t="n"/>
      <c r="B74" s="155" t="inlineStr">
        <is>
          <t>HGC-Lib-26084384</t>
        </is>
      </c>
      <c r="C74" s="155" t="n">
        <v>67.55</v>
      </c>
      <c r="D74" s="156" t="n">
        <v>6</v>
      </c>
      <c r="E74" s="157" t="n">
        <v>0.543</v>
      </c>
      <c r="F74" s="157">
        <f>ROUND(E74/C74*G126,3)</f>
        <v/>
      </c>
      <c r="G74" s="155" t="inlineStr">
        <is>
          <t>mRNA</t>
        </is>
      </c>
      <c r="H74" s="155" t="inlineStr">
        <is>
          <t>江西烈冰生物科技有限公司</t>
        </is>
      </c>
      <c r="I74" s="157" t="n"/>
      <c r="J74" s="155" t="n"/>
      <c r="K74" s="155" t="n"/>
      <c r="L74" s="77" t="inlineStr">
        <is>
          <t>加急</t>
        </is>
      </c>
      <c r="M74" s="77" t="n"/>
      <c r="N74" s="77" t="n">
        <v>67.55</v>
      </c>
      <c r="O74" s="77" t="n"/>
      <c r="P74" s="77" t="inlineStr">
        <is>
          <t>未磷酸化</t>
        </is>
      </c>
      <c r="Q74" s="77" t="inlineStr">
        <is>
          <t>未环化</t>
        </is>
      </c>
    </row>
    <row r="75" ht="30" customHeight="1" s="80">
      <c r="A75" s="159" t="n"/>
      <c r="B75" s="155" t="inlineStr">
        <is>
          <t>HGC-Lib-26084385</t>
        </is>
      </c>
      <c r="C75" s="155" t="n">
        <v>72.41</v>
      </c>
      <c r="D75" s="156" t="n">
        <v>6</v>
      </c>
      <c r="E75" s="157" t="n">
        <v>0.543</v>
      </c>
      <c r="F75" s="157">
        <f>ROUND(E75/C75*G126,3)</f>
        <v/>
      </c>
      <c r="G75" s="155" t="inlineStr">
        <is>
          <t>mRNA</t>
        </is>
      </c>
      <c r="H75" s="155" t="inlineStr">
        <is>
          <t>江西烈冰生物科技有限公司</t>
        </is>
      </c>
      <c r="I75" s="157" t="n"/>
      <c r="J75" s="155" t="n"/>
      <c r="K75" s="155" t="n"/>
      <c r="L75" s="77" t="inlineStr">
        <is>
          <t>加急</t>
        </is>
      </c>
      <c r="M75" s="77" t="n"/>
      <c r="N75" s="77" t="n">
        <v>72.41</v>
      </c>
      <c r="O75" s="77" t="n"/>
      <c r="P75" s="77" t="inlineStr">
        <is>
          <t>未磷酸化</t>
        </is>
      </c>
      <c r="Q75" s="77" t="inlineStr">
        <is>
          <t>未环化</t>
        </is>
      </c>
    </row>
    <row r="76" ht="30" customHeight="1" s="80">
      <c r="A76" s="159" t="n"/>
      <c r="B76" s="155" t="inlineStr">
        <is>
          <t>HGC-Lib-26084386</t>
        </is>
      </c>
      <c r="C76" s="155" t="n">
        <v>66.45</v>
      </c>
      <c r="D76" s="156" t="n">
        <v>6</v>
      </c>
      <c r="E76" s="157" t="n">
        <v>0.543</v>
      </c>
      <c r="F76" s="157">
        <f>ROUND(E76/C76*G126,3)</f>
        <v/>
      </c>
      <c r="G76" s="155" t="inlineStr">
        <is>
          <t>mRNA</t>
        </is>
      </c>
      <c r="H76" s="155" t="inlineStr">
        <is>
          <t>江西烈冰生物科技有限公司</t>
        </is>
      </c>
      <c r="I76" s="157" t="n"/>
      <c r="J76" s="155" t="n"/>
      <c r="K76" s="155" t="n"/>
      <c r="L76" s="77" t="inlineStr">
        <is>
          <t>加急</t>
        </is>
      </c>
      <c r="M76" s="77" t="n"/>
      <c r="N76" s="77" t="n">
        <v>66.45</v>
      </c>
      <c r="O76" s="77" t="n"/>
      <c r="P76" s="77" t="inlineStr">
        <is>
          <t>未磷酸化</t>
        </is>
      </c>
      <c r="Q76" s="77" t="inlineStr">
        <is>
          <t>未环化</t>
        </is>
      </c>
    </row>
    <row r="77" ht="30" customHeight="1" s="80">
      <c r="A77" s="159" t="n"/>
      <c r="B77" s="155" t="inlineStr">
        <is>
          <t>HGC-Lib-26084387</t>
        </is>
      </c>
      <c r="C77" s="155" t="n">
        <v>66.16</v>
      </c>
      <c r="D77" s="156" t="n">
        <v>6</v>
      </c>
      <c r="E77" s="157" t="n">
        <v>0.543</v>
      </c>
      <c r="F77" s="157">
        <f>ROUND(E77/C77*G126,3)</f>
        <v/>
      </c>
      <c r="G77" s="155" t="inlineStr">
        <is>
          <t>mRNA</t>
        </is>
      </c>
      <c r="H77" s="155" t="inlineStr">
        <is>
          <t>江西烈冰生物科技有限公司</t>
        </is>
      </c>
      <c r="I77" s="157" t="n"/>
      <c r="J77" s="155" t="n"/>
      <c r="K77" s="155" t="n"/>
      <c r="L77" s="77" t="inlineStr">
        <is>
          <t>加急</t>
        </is>
      </c>
      <c r="M77" s="77" t="n"/>
      <c r="N77" s="77" t="n">
        <v>66.16</v>
      </c>
      <c r="O77" s="77" t="n"/>
      <c r="P77" s="77" t="inlineStr">
        <is>
          <t>未磷酸化</t>
        </is>
      </c>
      <c r="Q77" s="77" t="inlineStr">
        <is>
          <t>未环化</t>
        </is>
      </c>
    </row>
    <row r="78" ht="30" customHeight="1" s="80">
      <c r="A78" s="159" t="n"/>
      <c r="B78" s="155" t="inlineStr">
        <is>
          <t>HGC-Lib-26084388</t>
        </is>
      </c>
      <c r="C78" s="155" t="n">
        <v>67.02</v>
      </c>
      <c r="D78" s="156" t="n">
        <v>6</v>
      </c>
      <c r="E78" s="157" t="n">
        <v>0.543</v>
      </c>
      <c r="F78" s="157">
        <f>ROUND(E78/C78*G126,3)</f>
        <v/>
      </c>
      <c r="G78" s="155" t="inlineStr">
        <is>
          <t>mRNA</t>
        </is>
      </c>
      <c r="H78" s="155" t="inlineStr">
        <is>
          <t>江西烈冰生物科技有限公司</t>
        </is>
      </c>
      <c r="I78" s="157" t="n"/>
      <c r="J78" s="155" t="n"/>
      <c r="K78" s="155" t="n"/>
      <c r="L78" s="77" t="inlineStr">
        <is>
          <t>加急</t>
        </is>
      </c>
      <c r="M78" s="77" t="n"/>
      <c r="N78" s="77" t="n">
        <v>67.02</v>
      </c>
      <c r="O78" s="77" t="n"/>
      <c r="P78" s="77" t="inlineStr">
        <is>
          <t>未磷酸化</t>
        </is>
      </c>
      <c r="Q78" s="77" t="inlineStr">
        <is>
          <t>未环化</t>
        </is>
      </c>
    </row>
    <row r="79" ht="30" customHeight="1" s="80">
      <c r="A79" s="159" t="n"/>
      <c r="B79" s="155" t="inlineStr">
        <is>
          <t>HGC-Lib-26084389</t>
        </is>
      </c>
      <c r="C79" s="155" t="n">
        <v>62.64</v>
      </c>
      <c r="D79" s="156" t="n">
        <v>6</v>
      </c>
      <c r="E79" s="157" t="n">
        <v>0.543</v>
      </c>
      <c r="F79" s="157">
        <f>ROUND(E79/C79*G126,3)</f>
        <v/>
      </c>
      <c r="G79" s="155" t="inlineStr">
        <is>
          <t>mRNA</t>
        </is>
      </c>
      <c r="H79" s="155" t="inlineStr">
        <is>
          <t>江西烈冰生物科技有限公司</t>
        </is>
      </c>
      <c r="I79" s="157" t="n"/>
      <c r="J79" s="155" t="n"/>
      <c r="K79" s="155" t="n"/>
      <c r="L79" s="77" t="inlineStr">
        <is>
          <t>加急</t>
        </is>
      </c>
      <c r="M79" s="77" t="n"/>
      <c r="N79" s="77" t="n">
        <v>62.64</v>
      </c>
      <c r="O79" s="77" t="n"/>
      <c r="P79" s="77" t="inlineStr">
        <is>
          <t>未磷酸化</t>
        </is>
      </c>
      <c r="Q79" s="77" t="inlineStr">
        <is>
          <t>未环化</t>
        </is>
      </c>
    </row>
    <row r="80" ht="30" customHeight="1" s="80">
      <c r="A80" s="159" t="n"/>
      <c r="B80" s="155" t="inlineStr">
        <is>
          <t>HGC-Lib-26084390</t>
        </is>
      </c>
      <c r="C80" s="155" t="n">
        <v>69.73</v>
      </c>
      <c r="D80" s="156" t="n">
        <v>6</v>
      </c>
      <c r="E80" s="157" t="n">
        <v>0.543</v>
      </c>
      <c r="F80" s="157">
        <f>ROUND(E80/C80*G126,3)</f>
        <v/>
      </c>
      <c r="G80" s="155" t="inlineStr">
        <is>
          <t>mRNA</t>
        </is>
      </c>
      <c r="H80" s="155" t="inlineStr">
        <is>
          <t>江西烈冰生物科技有限公司</t>
        </is>
      </c>
      <c r="I80" s="157" t="n"/>
      <c r="J80" s="155" t="n"/>
      <c r="K80" s="155" t="n"/>
      <c r="L80" s="77" t="inlineStr">
        <is>
          <t>加急</t>
        </is>
      </c>
      <c r="M80" s="77" t="n"/>
      <c r="N80" s="77" t="n">
        <v>69.73</v>
      </c>
      <c r="O80" s="77" t="n"/>
      <c r="P80" s="77" t="inlineStr">
        <is>
          <t>未磷酸化</t>
        </is>
      </c>
      <c r="Q80" s="77" t="inlineStr">
        <is>
          <t>未环化</t>
        </is>
      </c>
    </row>
    <row r="81" ht="30" customHeight="1" s="80">
      <c r="A81" s="159" t="n"/>
      <c r="B81" s="155" t="inlineStr">
        <is>
          <t>HGC-Lib-26084391</t>
        </is>
      </c>
      <c r="C81" s="155" t="n">
        <v>67.95999999999999</v>
      </c>
      <c r="D81" s="156" t="n">
        <v>6</v>
      </c>
      <c r="E81" s="157" t="n">
        <v>0.543</v>
      </c>
      <c r="F81" s="157">
        <f>ROUND(E81/C81*G126,3)</f>
        <v/>
      </c>
      <c r="G81" s="155" t="inlineStr">
        <is>
          <t>mRNA</t>
        </is>
      </c>
      <c r="H81" s="155" t="inlineStr">
        <is>
          <t>江西烈冰生物科技有限公司</t>
        </is>
      </c>
      <c r="I81" s="157" t="n"/>
      <c r="J81" s="155" t="n"/>
      <c r="K81" s="155" t="n"/>
      <c r="L81" s="77" t="inlineStr">
        <is>
          <t>加急</t>
        </is>
      </c>
      <c r="M81" s="77" t="n"/>
      <c r="N81" s="77" t="n">
        <v>67.95999999999999</v>
      </c>
      <c r="O81" s="77" t="n"/>
      <c r="P81" s="77" t="inlineStr">
        <is>
          <t>未磷酸化</t>
        </is>
      </c>
      <c r="Q81" s="77" t="inlineStr">
        <is>
          <t>未环化</t>
        </is>
      </c>
    </row>
    <row r="82" ht="30" customHeight="1" s="80">
      <c r="A82" s="159" t="n"/>
      <c r="B82" s="155" t="inlineStr">
        <is>
          <t>HGC-Lib-26084392</t>
        </is>
      </c>
      <c r="C82" s="155" t="n">
        <v>64.53</v>
      </c>
      <c r="D82" s="156" t="n">
        <v>6</v>
      </c>
      <c r="E82" s="157" t="n">
        <v>0.543</v>
      </c>
      <c r="F82" s="157">
        <f>ROUND(E82/C82*G126,3)</f>
        <v/>
      </c>
      <c r="G82" s="155" t="inlineStr">
        <is>
          <t>mRNA</t>
        </is>
      </c>
      <c r="H82" s="155" t="inlineStr">
        <is>
          <t>江西烈冰生物科技有限公司</t>
        </is>
      </c>
      <c r="I82" s="157" t="n"/>
      <c r="J82" s="155" t="n"/>
      <c r="K82" s="155" t="n"/>
      <c r="L82" s="77" t="inlineStr">
        <is>
          <t>加急</t>
        </is>
      </c>
      <c r="M82" s="77" t="n"/>
      <c r="N82" s="77" t="n">
        <v>64.53</v>
      </c>
      <c r="O82" s="77" t="n"/>
      <c r="P82" s="77" t="inlineStr">
        <is>
          <t>未磷酸化</t>
        </is>
      </c>
      <c r="Q82" s="77" t="inlineStr">
        <is>
          <t>未环化</t>
        </is>
      </c>
    </row>
    <row r="83" ht="30" customHeight="1" s="80">
      <c r="A83" s="159" t="n"/>
      <c r="B83" s="155" t="inlineStr">
        <is>
          <t>HGC-Lib-26084393</t>
        </is>
      </c>
      <c r="C83" s="155" t="n">
        <v>67.72</v>
      </c>
      <c r="D83" s="156" t="n">
        <v>6</v>
      </c>
      <c r="E83" s="157" t="n">
        <v>0.543</v>
      </c>
      <c r="F83" s="157">
        <f>ROUND(E83/C83*G126,3)</f>
        <v/>
      </c>
      <c r="G83" s="155" t="inlineStr">
        <is>
          <t>mRNA</t>
        </is>
      </c>
      <c r="H83" s="155" t="inlineStr">
        <is>
          <t>江西烈冰生物科技有限公司</t>
        </is>
      </c>
      <c r="I83" s="157" t="n"/>
      <c r="J83" s="155" t="n"/>
      <c r="K83" s="155" t="n"/>
      <c r="L83" s="77" t="inlineStr">
        <is>
          <t>加急</t>
        </is>
      </c>
      <c r="M83" s="77" t="n"/>
      <c r="N83" s="77" t="n">
        <v>67.72</v>
      </c>
      <c r="O83" s="77" t="n"/>
      <c r="P83" s="77" t="inlineStr">
        <is>
          <t>未磷酸化</t>
        </is>
      </c>
      <c r="Q83" s="77" t="inlineStr">
        <is>
          <t>未环化</t>
        </is>
      </c>
    </row>
    <row r="84" ht="30" customHeight="1" s="80">
      <c r="A84" s="159" t="n"/>
      <c r="B84" s="155" t="inlineStr">
        <is>
          <t>HGC-Lib-26084394</t>
        </is>
      </c>
      <c r="C84" s="155" t="n">
        <v>66.77</v>
      </c>
      <c r="D84" s="156" t="n">
        <v>6</v>
      </c>
      <c r="E84" s="157" t="n">
        <v>0.543</v>
      </c>
      <c r="F84" s="157">
        <f>ROUND(E84/C84*G126,3)</f>
        <v/>
      </c>
      <c r="G84" s="155" t="inlineStr">
        <is>
          <t>mRNA</t>
        </is>
      </c>
      <c r="H84" s="155" t="inlineStr">
        <is>
          <t>江西烈冰生物科技有限公司</t>
        </is>
      </c>
      <c r="I84" s="157" t="n"/>
      <c r="J84" s="155" t="n"/>
      <c r="K84" s="155" t="n"/>
      <c r="L84" s="77" t="inlineStr">
        <is>
          <t>加急</t>
        </is>
      </c>
      <c r="M84" s="77" t="n"/>
      <c r="N84" s="77" t="n">
        <v>66.77</v>
      </c>
      <c r="O84" s="77" t="n"/>
      <c r="P84" s="77" t="inlineStr">
        <is>
          <t>未磷酸化</t>
        </is>
      </c>
      <c r="Q84" s="77" t="inlineStr">
        <is>
          <t>未环化</t>
        </is>
      </c>
    </row>
    <row r="85" ht="30" customHeight="1" s="80">
      <c r="A85" s="159" t="n"/>
      <c r="B85" s="155" t="inlineStr">
        <is>
          <t>HGC-Lib-26084395</t>
        </is>
      </c>
      <c r="C85" s="155" t="n">
        <v>64.86</v>
      </c>
      <c r="D85" s="156" t="n">
        <v>6</v>
      </c>
      <c r="E85" s="157" t="n">
        <v>0.543</v>
      </c>
      <c r="F85" s="157">
        <f>ROUND(E85/C85*G126,3)</f>
        <v/>
      </c>
      <c r="G85" s="155" t="inlineStr">
        <is>
          <t>mRNA</t>
        </is>
      </c>
      <c r="H85" s="155" t="inlineStr">
        <is>
          <t>江西烈冰生物科技有限公司</t>
        </is>
      </c>
      <c r="I85" s="157" t="n"/>
      <c r="J85" s="155" t="n"/>
      <c r="K85" s="155" t="n"/>
      <c r="L85" s="77" t="inlineStr">
        <is>
          <t>加急</t>
        </is>
      </c>
      <c r="M85" s="77" t="n"/>
      <c r="N85" s="77" t="n">
        <v>64.86</v>
      </c>
      <c r="O85" s="77" t="n"/>
      <c r="P85" s="77" t="inlineStr">
        <is>
          <t>未磷酸化</t>
        </is>
      </c>
      <c r="Q85" s="77" t="inlineStr">
        <is>
          <t>未环化</t>
        </is>
      </c>
    </row>
    <row r="86" ht="30" customHeight="1" s="80">
      <c r="A86" s="159" t="n"/>
      <c r="B86" s="155" t="inlineStr">
        <is>
          <t>HGC-Lib-26084396</t>
        </is>
      </c>
      <c r="C86" s="155" t="n">
        <v>59.64</v>
      </c>
      <c r="D86" s="156" t="n">
        <v>6</v>
      </c>
      <c r="E86" s="157" t="n">
        <v>0.543</v>
      </c>
      <c r="F86" s="157">
        <f>ROUND(E86/C86*G126,3)</f>
        <v/>
      </c>
      <c r="G86" s="155" t="inlineStr">
        <is>
          <t>mRNA</t>
        </is>
      </c>
      <c r="H86" s="155" t="inlineStr">
        <is>
          <t>江西烈冰生物科技有限公司</t>
        </is>
      </c>
      <c r="I86" s="157" t="n"/>
      <c r="J86" s="155" t="n"/>
      <c r="K86" s="155" t="n"/>
      <c r="L86" s="77" t="inlineStr">
        <is>
          <t>加急</t>
        </is>
      </c>
      <c r="M86" s="77" t="n"/>
      <c r="N86" s="77" t="n">
        <v>59.64</v>
      </c>
      <c r="O86" s="77" t="n"/>
      <c r="P86" s="77" t="inlineStr">
        <is>
          <t>未磷酸化</t>
        </is>
      </c>
      <c r="Q86" s="77" t="inlineStr">
        <is>
          <t>未环化</t>
        </is>
      </c>
    </row>
    <row r="87" ht="30" customHeight="1" s="80">
      <c r="A87" s="159" t="n"/>
      <c r="B87" s="155" t="inlineStr">
        <is>
          <t>HGC-Lib-26084397</t>
        </is>
      </c>
      <c r="C87" s="155" t="n">
        <v>58.95</v>
      </c>
      <c r="D87" s="156" t="n">
        <v>6</v>
      </c>
      <c r="E87" s="157" t="n">
        <v>0.543</v>
      </c>
      <c r="F87" s="157">
        <f>ROUND(E87/C87*G126,3)</f>
        <v/>
      </c>
      <c r="G87" s="155" t="inlineStr">
        <is>
          <t>mRNA</t>
        </is>
      </c>
      <c r="H87" s="155" t="inlineStr">
        <is>
          <t>江西烈冰生物科技有限公司</t>
        </is>
      </c>
      <c r="I87" s="157" t="n"/>
      <c r="J87" s="155" t="n"/>
      <c r="K87" s="155" t="n"/>
      <c r="L87" s="77" t="inlineStr">
        <is>
          <t>加急</t>
        </is>
      </c>
      <c r="M87" s="77" t="n"/>
      <c r="N87" s="77" t="n">
        <v>58.95</v>
      </c>
      <c r="O87" s="77" t="n"/>
      <c r="P87" s="77" t="inlineStr">
        <is>
          <t>未磷酸化</t>
        </is>
      </c>
      <c r="Q87" s="77" t="inlineStr">
        <is>
          <t>未环化</t>
        </is>
      </c>
    </row>
    <row r="88" ht="30" customHeight="1" s="80">
      <c r="A88" s="159" t="n"/>
      <c r="B88" s="155" t="inlineStr">
        <is>
          <t>HGC-Lib-26084398</t>
        </is>
      </c>
      <c r="C88" s="155" t="n">
        <v>61.17</v>
      </c>
      <c r="D88" s="156" t="n">
        <v>6</v>
      </c>
      <c r="E88" s="157" t="n">
        <v>0.543</v>
      </c>
      <c r="F88" s="157">
        <f>ROUND(E88/C88*G126,3)</f>
        <v/>
      </c>
      <c r="G88" s="155" t="inlineStr">
        <is>
          <t>mRNA</t>
        </is>
      </c>
      <c r="H88" s="155" t="inlineStr">
        <is>
          <t>江西烈冰生物科技有限公司</t>
        </is>
      </c>
      <c r="I88" s="157" t="n"/>
      <c r="J88" s="155" t="n"/>
      <c r="K88" s="155" t="n"/>
      <c r="L88" s="77" t="inlineStr">
        <is>
          <t>加急</t>
        </is>
      </c>
      <c r="M88" s="77" t="n"/>
      <c r="N88" s="77" t="n">
        <v>61.17</v>
      </c>
      <c r="O88" s="77" t="n"/>
      <c r="P88" s="77" t="inlineStr">
        <is>
          <t>未磷酸化</t>
        </is>
      </c>
      <c r="Q88" s="77" t="inlineStr">
        <is>
          <t>未环化</t>
        </is>
      </c>
    </row>
    <row r="89" ht="30" customHeight="1" s="80">
      <c r="A89" s="159" t="n"/>
      <c r="B89" s="155" t="inlineStr">
        <is>
          <t>HGC-Lib-26084399</t>
        </is>
      </c>
      <c r="C89" s="155" t="n">
        <v>63.96</v>
      </c>
      <c r="D89" s="156" t="n">
        <v>6</v>
      </c>
      <c r="E89" s="157" t="n">
        <v>0.543</v>
      </c>
      <c r="F89" s="157">
        <f>ROUND(E89/C89*G126,3)</f>
        <v/>
      </c>
      <c r="G89" s="155" t="inlineStr">
        <is>
          <t>mRNA</t>
        </is>
      </c>
      <c r="H89" s="155" t="inlineStr">
        <is>
          <t>江西烈冰生物科技有限公司</t>
        </is>
      </c>
      <c r="I89" s="157" t="n"/>
      <c r="J89" s="155" t="n"/>
      <c r="K89" s="155" t="n"/>
      <c r="L89" s="77" t="inlineStr">
        <is>
          <t>加急</t>
        </is>
      </c>
      <c r="M89" s="77" t="n"/>
      <c r="N89" s="77" t="n">
        <v>63.96</v>
      </c>
      <c r="O89" s="77" t="n"/>
      <c r="P89" s="77" t="inlineStr">
        <is>
          <t>未磷酸化</t>
        </is>
      </c>
      <c r="Q89" s="77" t="inlineStr">
        <is>
          <t>未环化</t>
        </is>
      </c>
    </row>
    <row r="90" ht="30" customHeight="1" s="80">
      <c r="A90" s="159" t="n"/>
      <c r="B90" s="155" t="inlineStr">
        <is>
          <t>HGC-Lib-26084400</t>
        </is>
      </c>
      <c r="C90" s="155" t="n">
        <v>62.68</v>
      </c>
      <c r="D90" s="156" t="n">
        <v>6</v>
      </c>
      <c r="E90" s="157" t="n">
        <v>0.543</v>
      </c>
      <c r="F90" s="157">
        <f>ROUND(E90/C90*G126,3)</f>
        <v/>
      </c>
      <c r="G90" s="155" t="inlineStr">
        <is>
          <t>mRNA</t>
        </is>
      </c>
      <c r="H90" s="155" t="inlineStr">
        <is>
          <t>江西烈冰生物科技有限公司</t>
        </is>
      </c>
      <c r="I90" s="157" t="n"/>
      <c r="J90" s="155" t="n"/>
      <c r="K90" s="155" t="n"/>
      <c r="L90" s="77" t="inlineStr">
        <is>
          <t>加急</t>
        </is>
      </c>
      <c r="M90" s="77" t="n"/>
      <c r="N90" s="77" t="n">
        <v>62.68</v>
      </c>
      <c r="O90" s="77" t="n"/>
      <c r="P90" s="77" t="inlineStr">
        <is>
          <t>未磷酸化</t>
        </is>
      </c>
      <c r="Q90" s="77" t="inlineStr">
        <is>
          <t>未环化</t>
        </is>
      </c>
    </row>
    <row r="91" ht="30" customHeight="1" s="80">
      <c r="A91" s="159" t="n"/>
      <c r="B91" s="155" t="inlineStr">
        <is>
          <t>HGC-Lib-26084401</t>
        </is>
      </c>
      <c r="C91" s="155" t="n">
        <v>61.93</v>
      </c>
      <c r="D91" s="156" t="n">
        <v>6</v>
      </c>
      <c r="E91" s="157" t="n">
        <v>0.543</v>
      </c>
      <c r="F91" s="157">
        <f>ROUND(E91/C91*G126,3)</f>
        <v/>
      </c>
      <c r="G91" s="155" t="inlineStr">
        <is>
          <t>mRNA</t>
        </is>
      </c>
      <c r="H91" s="155" t="inlineStr">
        <is>
          <t>江西烈冰生物科技有限公司</t>
        </is>
      </c>
      <c r="I91" s="157" t="n"/>
      <c r="J91" s="155" t="n"/>
      <c r="K91" s="155" t="n"/>
      <c r="L91" s="77" t="inlineStr">
        <is>
          <t>加急</t>
        </is>
      </c>
      <c r="M91" s="77" t="n"/>
      <c r="N91" s="77" t="n">
        <v>61.93</v>
      </c>
      <c r="O91" s="77" t="n"/>
      <c r="P91" s="77" t="inlineStr">
        <is>
          <t>未磷酸化</t>
        </is>
      </c>
      <c r="Q91" s="77" t="inlineStr">
        <is>
          <t>未环化</t>
        </is>
      </c>
    </row>
    <row r="92" ht="30" customHeight="1" s="80">
      <c r="A92" s="159" t="n"/>
      <c r="B92" s="155" t="inlineStr">
        <is>
          <t>HGC-Lib-26084404</t>
        </is>
      </c>
      <c r="C92" s="155" t="n">
        <v>64.25</v>
      </c>
      <c r="D92" s="156" t="n">
        <v>6</v>
      </c>
      <c r="E92" s="157" t="n">
        <v>0.543</v>
      </c>
      <c r="F92" s="157">
        <f>ROUND(E92/C92*G126,3)</f>
        <v/>
      </c>
      <c r="G92" s="155" t="inlineStr">
        <is>
          <t>mRNA</t>
        </is>
      </c>
      <c r="H92" s="155" t="inlineStr">
        <is>
          <t>江西烈冰生物科技有限公司</t>
        </is>
      </c>
      <c r="I92" s="157" t="n"/>
      <c r="J92" s="155" t="n"/>
      <c r="K92" s="155" t="n"/>
      <c r="L92" s="77" t="inlineStr">
        <is>
          <t>加急</t>
        </is>
      </c>
      <c r="M92" s="77" t="n"/>
      <c r="N92" s="77" t="n">
        <v>64.25</v>
      </c>
      <c r="O92" s="77" t="n"/>
      <c r="P92" s="77" t="inlineStr">
        <is>
          <t>未磷酸化</t>
        </is>
      </c>
      <c r="Q92" s="77" t="inlineStr">
        <is>
          <t>未环化</t>
        </is>
      </c>
    </row>
    <row r="93" ht="30" customHeight="1" s="80">
      <c r="A93" s="159" t="n"/>
      <c r="B93" s="155" t="inlineStr">
        <is>
          <t>HGC-Lib-26084405</t>
        </is>
      </c>
      <c r="C93" s="155" t="n">
        <v>58.28</v>
      </c>
      <c r="D93" s="156" t="n">
        <v>6</v>
      </c>
      <c r="E93" s="157" t="n">
        <v>0.543</v>
      </c>
      <c r="F93" s="157">
        <f>ROUND(E93/C93*G126,3)</f>
        <v/>
      </c>
      <c r="G93" s="155" t="inlineStr">
        <is>
          <t>mRNA</t>
        </is>
      </c>
      <c r="H93" s="155" t="inlineStr">
        <is>
          <t>江西烈冰生物科技有限公司</t>
        </is>
      </c>
      <c r="I93" s="157" t="n"/>
      <c r="J93" s="155" t="n"/>
      <c r="K93" s="155" t="n"/>
      <c r="L93" s="77" t="inlineStr">
        <is>
          <t>加急</t>
        </is>
      </c>
      <c r="M93" s="77" t="n"/>
      <c r="N93" s="77" t="n">
        <v>58.28</v>
      </c>
      <c r="O93" s="77" t="n"/>
      <c r="P93" s="77" t="inlineStr">
        <is>
          <t>未磷酸化</t>
        </is>
      </c>
      <c r="Q93" s="77" t="inlineStr">
        <is>
          <t>未环化</t>
        </is>
      </c>
    </row>
    <row r="94" ht="30" customHeight="1" s="80">
      <c r="A94" s="159" t="n"/>
      <c r="B94" s="155" t="inlineStr">
        <is>
          <t>HGC-Lib-26084406</t>
        </is>
      </c>
      <c r="C94" s="155" t="n">
        <v>65.29000000000001</v>
      </c>
      <c r="D94" s="156" t="n">
        <v>6</v>
      </c>
      <c r="E94" s="157" t="n">
        <v>0.543</v>
      </c>
      <c r="F94" s="157">
        <f>ROUND(E94/C94*G126,3)</f>
        <v/>
      </c>
      <c r="G94" s="155" t="inlineStr">
        <is>
          <t>mRNA</t>
        </is>
      </c>
      <c r="H94" s="155" t="inlineStr">
        <is>
          <t>江西烈冰生物科技有限公司</t>
        </is>
      </c>
      <c r="I94" s="157" t="n"/>
      <c r="J94" s="155" t="n"/>
      <c r="K94" s="155" t="n"/>
      <c r="L94" s="77" t="inlineStr">
        <is>
          <t>加急</t>
        </is>
      </c>
      <c r="M94" s="77" t="n"/>
      <c r="N94" s="77" t="n">
        <v>65.29000000000001</v>
      </c>
      <c r="O94" s="77" t="n"/>
      <c r="P94" s="77" t="inlineStr">
        <is>
          <t>未磷酸化</t>
        </is>
      </c>
      <c r="Q94" s="77" t="inlineStr">
        <is>
          <t>未环化</t>
        </is>
      </c>
    </row>
    <row r="95" ht="30" customHeight="1" s="80">
      <c r="A95" s="159" t="n"/>
      <c r="B95" s="155" t="inlineStr">
        <is>
          <t>HGC-Lib-26084407</t>
        </is>
      </c>
      <c r="C95" s="155" t="n">
        <v>66.04000000000001</v>
      </c>
      <c r="D95" s="156" t="n">
        <v>6</v>
      </c>
      <c r="E95" s="157" t="n">
        <v>0.543</v>
      </c>
      <c r="F95" s="157">
        <f>ROUND(E95/C95*G126,3)</f>
        <v/>
      </c>
      <c r="G95" s="155" t="inlineStr">
        <is>
          <t>mRNA</t>
        </is>
      </c>
      <c r="H95" s="155" t="inlineStr">
        <is>
          <t>江西烈冰生物科技有限公司</t>
        </is>
      </c>
      <c r="I95" s="157" t="n"/>
      <c r="J95" s="155" t="n"/>
      <c r="K95" s="155" t="n"/>
      <c r="L95" s="77" t="inlineStr">
        <is>
          <t>加急</t>
        </is>
      </c>
      <c r="M95" s="77" t="n"/>
      <c r="N95" s="77" t="n">
        <v>66.04000000000001</v>
      </c>
      <c r="O95" s="77" t="n"/>
      <c r="P95" s="77" t="inlineStr">
        <is>
          <t>未磷酸化</t>
        </is>
      </c>
      <c r="Q95" s="77" t="inlineStr">
        <is>
          <t>未环化</t>
        </is>
      </c>
    </row>
    <row r="96" ht="30" customHeight="1" s="80">
      <c r="A96" s="159" t="n"/>
      <c r="B96" s="155" t="inlineStr">
        <is>
          <t>HGC-Lib-26084408</t>
        </is>
      </c>
      <c r="C96" s="155" t="n">
        <v>63.61</v>
      </c>
      <c r="D96" s="156" t="n">
        <v>6</v>
      </c>
      <c r="E96" s="157" t="n">
        <v>0.543</v>
      </c>
      <c r="F96" s="157">
        <f>ROUND(E96/C96*G126,3)</f>
        <v/>
      </c>
      <c r="G96" s="155" t="inlineStr">
        <is>
          <t>mRNA</t>
        </is>
      </c>
      <c r="H96" s="155" t="inlineStr">
        <is>
          <t>江西烈冰生物科技有限公司</t>
        </is>
      </c>
      <c r="I96" s="157" t="n"/>
      <c r="J96" s="155" t="n"/>
      <c r="K96" s="155" t="n"/>
      <c r="L96" s="77" t="inlineStr">
        <is>
          <t>加急</t>
        </is>
      </c>
      <c r="M96" s="77" t="n"/>
      <c r="N96" s="77" t="n">
        <v>63.61</v>
      </c>
      <c r="O96" s="77" t="n"/>
      <c r="P96" s="77" t="inlineStr">
        <is>
          <t>未磷酸化</t>
        </is>
      </c>
      <c r="Q96" s="77" t="inlineStr">
        <is>
          <t>未环化</t>
        </is>
      </c>
    </row>
    <row r="97" ht="30" customHeight="1" s="80">
      <c r="A97" s="159" t="n"/>
      <c r="B97" s="155" t="inlineStr">
        <is>
          <t>HGC-Lib-26084409</t>
        </is>
      </c>
      <c r="C97" s="155" t="n">
        <v>62.15</v>
      </c>
      <c r="D97" s="156" t="n">
        <v>6</v>
      </c>
      <c r="E97" s="157" t="n">
        <v>0.543</v>
      </c>
      <c r="F97" s="157">
        <f>ROUND(E97/C97*G126,3)</f>
        <v/>
      </c>
      <c r="G97" s="155" t="inlineStr">
        <is>
          <t>mRNA</t>
        </is>
      </c>
      <c r="H97" s="155" t="inlineStr">
        <is>
          <t>江西烈冰生物科技有限公司</t>
        </is>
      </c>
      <c r="I97" s="157" t="n"/>
      <c r="J97" s="155" t="n"/>
      <c r="K97" s="155" t="n"/>
      <c r="L97" s="77" t="inlineStr">
        <is>
          <t>加急</t>
        </is>
      </c>
      <c r="M97" s="77" t="n"/>
      <c r="N97" s="77" t="n">
        <v>62.15</v>
      </c>
      <c r="O97" s="77" t="n"/>
      <c r="P97" s="77" t="inlineStr">
        <is>
          <t>未磷酸化</t>
        </is>
      </c>
      <c r="Q97" s="77" t="inlineStr">
        <is>
          <t>未环化</t>
        </is>
      </c>
    </row>
    <row r="98" ht="30" customHeight="1" s="80">
      <c r="A98" s="159" t="n"/>
      <c r="B98" s="155" t="inlineStr">
        <is>
          <t>HGC-Lib-26084410</t>
        </is>
      </c>
      <c r="C98" s="155" t="n">
        <v>51.31</v>
      </c>
      <c r="D98" s="156" t="n">
        <v>6</v>
      </c>
      <c r="E98" s="157" t="n">
        <v>0.543</v>
      </c>
      <c r="F98" s="157">
        <f>ROUND(E98/C98*G126,3)</f>
        <v/>
      </c>
      <c r="G98" s="155" t="inlineStr">
        <is>
          <t>mRNA</t>
        </is>
      </c>
      <c r="H98" s="155" t="inlineStr">
        <is>
          <t>江西烈冰生物科技有限公司</t>
        </is>
      </c>
      <c r="I98" s="157" t="n"/>
      <c r="J98" s="155" t="n"/>
      <c r="K98" s="155" t="n"/>
      <c r="L98" s="77" t="inlineStr">
        <is>
          <t>加急</t>
        </is>
      </c>
      <c r="M98" s="77" t="n"/>
      <c r="N98" s="77" t="n">
        <v>51.31</v>
      </c>
      <c r="O98" s="77" t="n"/>
      <c r="P98" s="77" t="inlineStr">
        <is>
          <t>未磷酸化</t>
        </is>
      </c>
      <c r="Q98" s="77" t="inlineStr">
        <is>
          <t>未环化</t>
        </is>
      </c>
    </row>
    <row r="99" ht="30" customHeight="1" s="80">
      <c r="A99" s="159" t="n"/>
      <c r="B99" s="155" t="inlineStr">
        <is>
          <t>HGC-Lib-26084411</t>
        </is>
      </c>
      <c r="C99" s="155" t="n">
        <v>66.62</v>
      </c>
      <c r="D99" s="156" t="n">
        <v>6</v>
      </c>
      <c r="E99" s="157" t="n">
        <v>0.543</v>
      </c>
      <c r="F99" s="157">
        <f>ROUND(E99/C99*G126,3)</f>
        <v/>
      </c>
      <c r="G99" s="155" t="inlineStr">
        <is>
          <t>mRNA</t>
        </is>
      </c>
      <c r="H99" s="155" t="inlineStr">
        <is>
          <t>江西烈冰生物科技有限公司</t>
        </is>
      </c>
      <c r="I99" s="157" t="n"/>
      <c r="J99" s="155" t="n"/>
      <c r="K99" s="155" t="n"/>
      <c r="L99" s="77" t="inlineStr">
        <is>
          <t>加急</t>
        </is>
      </c>
      <c r="M99" s="77" t="n"/>
      <c r="N99" s="77" t="n">
        <v>66.62</v>
      </c>
      <c r="O99" s="77" t="n"/>
      <c r="P99" s="77" t="inlineStr">
        <is>
          <t>未磷酸化</t>
        </is>
      </c>
      <c r="Q99" s="77" t="inlineStr">
        <is>
          <t>未环化</t>
        </is>
      </c>
    </row>
    <row r="100" ht="30" customHeight="1" s="80">
      <c r="A100" s="159" t="n"/>
      <c r="B100" s="155" t="inlineStr">
        <is>
          <t>HGC-Lib-26084412</t>
        </is>
      </c>
      <c r="C100" s="155" t="n">
        <v>60.04</v>
      </c>
      <c r="D100" s="156" t="n">
        <v>6</v>
      </c>
      <c r="E100" s="157" t="n">
        <v>0.543</v>
      </c>
      <c r="F100" s="157">
        <f>ROUND(E100/C100*G126,3)</f>
        <v/>
      </c>
      <c r="G100" s="155" t="inlineStr">
        <is>
          <t>mRNA</t>
        </is>
      </c>
      <c r="H100" s="155" t="inlineStr">
        <is>
          <t>江西烈冰生物科技有限公司</t>
        </is>
      </c>
      <c r="I100" s="157" t="n"/>
      <c r="J100" s="155" t="n"/>
      <c r="K100" s="155" t="n"/>
      <c r="L100" s="77" t="inlineStr">
        <is>
          <t>加急</t>
        </is>
      </c>
      <c r="M100" s="77" t="n"/>
      <c r="N100" s="77" t="n">
        <v>60.04</v>
      </c>
      <c r="O100" s="77" t="n"/>
      <c r="P100" s="77" t="inlineStr">
        <is>
          <t>未磷酸化</t>
        </is>
      </c>
      <c r="Q100" s="77" t="inlineStr">
        <is>
          <t>未环化</t>
        </is>
      </c>
    </row>
    <row r="101" ht="30" customHeight="1" s="80">
      <c r="A101" s="159" t="n"/>
      <c r="B101" s="155" t="inlineStr">
        <is>
          <t>HGC-Lib-26084413</t>
        </is>
      </c>
      <c r="C101" s="155" t="n">
        <v>60.85</v>
      </c>
      <c r="D101" s="156" t="n">
        <v>6</v>
      </c>
      <c r="E101" s="157" t="n">
        <v>0.543</v>
      </c>
      <c r="F101" s="157">
        <f>ROUND(E101/C101*G126,3)</f>
        <v/>
      </c>
      <c r="G101" s="155" t="inlineStr">
        <is>
          <t>mRNA</t>
        </is>
      </c>
      <c r="H101" s="155" t="inlineStr">
        <is>
          <t>江西烈冰生物科技有限公司</t>
        </is>
      </c>
      <c r="I101" s="157" t="n"/>
      <c r="J101" s="155" t="n"/>
      <c r="K101" s="155" t="n"/>
      <c r="L101" s="77" t="inlineStr">
        <is>
          <t>加急</t>
        </is>
      </c>
      <c r="M101" s="77" t="n"/>
      <c r="N101" s="77" t="n">
        <v>60.85</v>
      </c>
      <c r="O101" s="77" t="n"/>
      <c r="P101" s="77" t="inlineStr">
        <is>
          <t>未磷酸化</t>
        </is>
      </c>
      <c r="Q101" s="77" t="inlineStr">
        <is>
          <t>未环化</t>
        </is>
      </c>
    </row>
    <row r="102" ht="30" customHeight="1" s="80">
      <c r="A102" s="159" t="n"/>
      <c r="B102" s="155" t="inlineStr">
        <is>
          <t>HGC-Lib-26084414</t>
        </is>
      </c>
      <c r="C102" s="155" t="n">
        <v>62.31</v>
      </c>
      <c r="D102" s="156" t="n">
        <v>6</v>
      </c>
      <c r="E102" s="157" t="n">
        <v>0.543</v>
      </c>
      <c r="F102" s="157">
        <f>ROUND(E102/C102*G126,3)</f>
        <v/>
      </c>
      <c r="G102" s="155" t="inlineStr">
        <is>
          <t>mRNA</t>
        </is>
      </c>
      <c r="H102" s="155" t="inlineStr">
        <is>
          <t>江西烈冰生物科技有限公司</t>
        </is>
      </c>
      <c r="I102" s="157" t="n"/>
      <c r="J102" s="155" t="n"/>
      <c r="K102" s="155" t="n"/>
      <c r="L102" s="77" t="inlineStr">
        <is>
          <t>加急</t>
        </is>
      </c>
      <c r="M102" s="77" t="n"/>
      <c r="N102" s="77" t="n">
        <v>62.31</v>
      </c>
      <c r="O102" s="77" t="n"/>
      <c r="P102" s="77" t="inlineStr">
        <is>
          <t>未磷酸化</t>
        </is>
      </c>
      <c r="Q102" s="77" t="inlineStr">
        <is>
          <t>未环化</t>
        </is>
      </c>
    </row>
    <row r="103" ht="30" customHeight="1" s="80">
      <c r="A103" s="159" t="n"/>
      <c r="B103" s="155" t="inlineStr">
        <is>
          <t>HGC-Lib-26084415</t>
        </is>
      </c>
      <c r="C103" s="155" t="n">
        <v>64.12</v>
      </c>
      <c r="D103" s="156" t="n">
        <v>6</v>
      </c>
      <c r="E103" s="157" t="n">
        <v>0.543</v>
      </c>
      <c r="F103" s="157">
        <f>ROUND(E103/C103*G126,3)</f>
        <v/>
      </c>
      <c r="G103" s="155" t="inlineStr">
        <is>
          <t>mRNA</t>
        </is>
      </c>
      <c r="H103" s="155" t="inlineStr">
        <is>
          <t>江西烈冰生物科技有限公司</t>
        </is>
      </c>
      <c r="I103" s="157" t="n"/>
      <c r="J103" s="155" t="n"/>
      <c r="K103" s="155" t="n"/>
      <c r="L103" s="77" t="inlineStr">
        <is>
          <t>加急</t>
        </is>
      </c>
      <c r="M103" s="77" t="n"/>
      <c r="N103" s="77" t="n">
        <v>64.12</v>
      </c>
      <c r="O103" s="77" t="n"/>
      <c r="P103" s="77" t="inlineStr">
        <is>
          <t>未磷酸化</t>
        </is>
      </c>
      <c r="Q103" s="77" t="inlineStr">
        <is>
          <t>未环化</t>
        </is>
      </c>
    </row>
    <row r="104" ht="30" customHeight="1" s="80">
      <c r="A104" s="159" t="n"/>
      <c r="B104" s="155" t="inlineStr">
        <is>
          <t>HGC-Lib-26084416</t>
        </is>
      </c>
      <c r="C104" s="155" t="n">
        <v>65.34999999999999</v>
      </c>
      <c r="D104" s="156" t="n">
        <v>6</v>
      </c>
      <c r="E104" s="157" t="n">
        <v>0.543</v>
      </c>
      <c r="F104" s="157">
        <f>ROUND(E104/C104*G126,3)</f>
        <v/>
      </c>
      <c r="G104" s="155" t="inlineStr">
        <is>
          <t>mRNA</t>
        </is>
      </c>
      <c r="H104" s="155" t="inlineStr">
        <is>
          <t>江西烈冰生物科技有限公司</t>
        </is>
      </c>
      <c r="I104" s="157" t="n"/>
      <c r="J104" s="155" t="n"/>
      <c r="K104" s="155" t="n"/>
      <c r="L104" s="77" t="inlineStr">
        <is>
          <t>加急</t>
        </is>
      </c>
      <c r="M104" s="77" t="n"/>
      <c r="N104" s="77" t="n">
        <v>65.34999999999999</v>
      </c>
      <c r="O104" s="77" t="n"/>
      <c r="P104" s="77" t="inlineStr">
        <is>
          <t>未磷酸化</t>
        </is>
      </c>
      <c r="Q104" s="77" t="inlineStr">
        <is>
          <t>未环化</t>
        </is>
      </c>
    </row>
    <row r="105" ht="30" customHeight="1" s="80">
      <c r="A105" s="159" t="n"/>
      <c r="B105" s="155" t="inlineStr">
        <is>
          <t>HGC-Lib-26084417</t>
        </is>
      </c>
      <c r="C105" s="155" t="n">
        <v>64.59999999999999</v>
      </c>
      <c r="D105" s="156" t="n">
        <v>6</v>
      </c>
      <c r="E105" s="157" t="n">
        <v>0.543</v>
      </c>
      <c r="F105" s="157">
        <f>ROUND(E105/C105*G126,3)</f>
        <v/>
      </c>
      <c r="G105" s="155" t="inlineStr">
        <is>
          <t>mRNA</t>
        </is>
      </c>
      <c r="H105" s="155" t="inlineStr">
        <is>
          <t>江西烈冰生物科技有限公司</t>
        </is>
      </c>
      <c r="I105" s="157" t="n"/>
      <c r="J105" s="155" t="n"/>
      <c r="K105" s="155" t="n"/>
      <c r="L105" s="77" t="inlineStr">
        <is>
          <t>加急</t>
        </is>
      </c>
      <c r="M105" s="77" t="n"/>
      <c r="N105" s="77" t="n">
        <v>64.59999999999999</v>
      </c>
      <c r="O105" s="77" t="n"/>
      <c r="P105" s="77" t="inlineStr">
        <is>
          <t>未磷酸化</t>
        </is>
      </c>
      <c r="Q105" s="77" t="inlineStr">
        <is>
          <t>未环化</t>
        </is>
      </c>
    </row>
    <row r="106" ht="30" customHeight="1" s="80">
      <c r="A106" s="159" t="n"/>
      <c r="B106" s="155" t="inlineStr">
        <is>
          <t>HGC-Lib-26084418</t>
        </is>
      </c>
      <c r="C106" s="155" t="n">
        <v>60.31</v>
      </c>
      <c r="D106" s="156" t="n">
        <v>6</v>
      </c>
      <c r="E106" s="157" t="n">
        <v>0.543</v>
      </c>
      <c r="F106" s="157">
        <f>ROUND(E106/C106*G126,3)</f>
        <v/>
      </c>
      <c r="G106" s="155" t="inlineStr">
        <is>
          <t>mRNA</t>
        </is>
      </c>
      <c r="H106" s="155" t="inlineStr">
        <is>
          <t>江西烈冰生物科技有限公司</t>
        </is>
      </c>
      <c r="I106" s="157" t="n"/>
      <c r="J106" s="155" t="n"/>
      <c r="K106" s="155" t="n"/>
      <c r="L106" s="77" t="inlineStr">
        <is>
          <t>加急</t>
        </is>
      </c>
      <c r="M106" s="77" t="n"/>
      <c r="N106" s="77" t="n">
        <v>60.31</v>
      </c>
      <c r="O106" s="77" t="n"/>
      <c r="P106" s="77" t="inlineStr">
        <is>
          <t>未磷酸化</t>
        </is>
      </c>
      <c r="Q106" s="77" t="inlineStr">
        <is>
          <t>未环化</t>
        </is>
      </c>
    </row>
    <row r="107" ht="30" customHeight="1" s="80">
      <c r="A107" s="159" t="n"/>
      <c r="B107" s="155" t="inlineStr">
        <is>
          <t>HGC-Lib-26084419</t>
        </is>
      </c>
      <c r="C107" s="155" t="n">
        <v>60.93</v>
      </c>
      <c r="D107" s="156" t="n">
        <v>6</v>
      </c>
      <c r="E107" s="157" t="n">
        <v>0.543</v>
      </c>
      <c r="F107" s="157">
        <f>ROUND(E107/C107*G126,3)</f>
        <v/>
      </c>
      <c r="G107" s="155" t="inlineStr">
        <is>
          <t>mRNA</t>
        </is>
      </c>
      <c r="H107" s="155" t="inlineStr">
        <is>
          <t>江西烈冰生物科技有限公司</t>
        </is>
      </c>
      <c r="I107" s="157" t="n"/>
      <c r="J107" s="155" t="n"/>
      <c r="K107" s="155" t="n"/>
      <c r="L107" s="77" t="inlineStr">
        <is>
          <t>加急</t>
        </is>
      </c>
      <c r="M107" s="77" t="n"/>
      <c r="N107" s="77" t="n">
        <v>60.93</v>
      </c>
      <c r="O107" s="77" t="n"/>
      <c r="P107" s="77" t="inlineStr">
        <is>
          <t>未磷酸化</t>
        </is>
      </c>
      <c r="Q107" s="77" t="inlineStr">
        <is>
          <t>未环化</t>
        </is>
      </c>
    </row>
    <row r="108" ht="30" customHeight="1" s="80">
      <c r="A108" s="159" t="n"/>
      <c r="B108" s="155" t="inlineStr">
        <is>
          <t>HGC-Lib-26084420</t>
        </is>
      </c>
      <c r="C108" s="155" t="n">
        <v>59.68</v>
      </c>
      <c r="D108" s="156" t="n">
        <v>6</v>
      </c>
      <c r="E108" s="157" t="n">
        <v>0.543</v>
      </c>
      <c r="F108" s="157">
        <f>ROUND(E108/C108*G126,3)</f>
        <v/>
      </c>
      <c r="G108" s="155" t="inlineStr">
        <is>
          <t>mRNA</t>
        </is>
      </c>
      <c r="H108" s="155" t="inlineStr">
        <is>
          <t>江西烈冰生物科技有限公司</t>
        </is>
      </c>
      <c r="I108" s="157" t="n"/>
      <c r="J108" s="155" t="n"/>
      <c r="K108" s="155" t="n"/>
      <c r="L108" s="77" t="inlineStr">
        <is>
          <t>加急</t>
        </is>
      </c>
      <c r="M108" s="77" t="n"/>
      <c r="N108" s="77" t="n">
        <v>59.68</v>
      </c>
      <c r="O108" s="77" t="n"/>
      <c r="P108" s="77" t="inlineStr">
        <is>
          <t>未磷酸化</t>
        </is>
      </c>
      <c r="Q108" s="77" t="inlineStr">
        <is>
          <t>未环化</t>
        </is>
      </c>
    </row>
    <row r="109" ht="30" customHeight="1" s="80">
      <c r="A109" s="159" t="n"/>
      <c r="B109" s="155" t="inlineStr">
        <is>
          <t>HGC-Lib-26084421</t>
        </is>
      </c>
      <c r="C109" s="155" t="n">
        <v>62.28</v>
      </c>
      <c r="D109" s="156" t="n">
        <v>6</v>
      </c>
      <c r="E109" s="157" t="n">
        <v>0.543</v>
      </c>
      <c r="F109" s="157">
        <f>ROUND(E109/C109*G126,3)</f>
        <v/>
      </c>
      <c r="G109" s="155" t="inlineStr">
        <is>
          <t>mRNA</t>
        </is>
      </c>
      <c r="H109" s="155" t="inlineStr">
        <is>
          <t>江西烈冰生物科技有限公司</t>
        </is>
      </c>
      <c r="I109" s="157" t="n"/>
      <c r="J109" s="155" t="n"/>
      <c r="K109" s="155" t="n"/>
      <c r="L109" s="77" t="inlineStr">
        <is>
          <t>加急</t>
        </is>
      </c>
      <c r="M109" s="77" t="n"/>
      <c r="N109" s="77" t="n">
        <v>62.28</v>
      </c>
      <c r="O109" s="77" t="n"/>
      <c r="P109" s="77" t="inlineStr">
        <is>
          <t>未磷酸化</t>
        </is>
      </c>
      <c r="Q109" s="77" t="inlineStr">
        <is>
          <t>未环化</t>
        </is>
      </c>
    </row>
    <row r="110" ht="30" customHeight="1" s="80">
      <c r="A110" s="159" t="n"/>
      <c r="B110" s="155" t="inlineStr">
        <is>
          <t>HGC-Lib-26084422</t>
        </is>
      </c>
      <c r="C110" s="155" t="n">
        <v>73.91</v>
      </c>
      <c r="D110" s="156" t="n">
        <v>6</v>
      </c>
      <c r="E110" s="157" t="n">
        <v>0.543</v>
      </c>
      <c r="F110" s="157">
        <f>ROUND(E110/C110*G126,3)</f>
        <v/>
      </c>
      <c r="G110" s="155" t="inlineStr">
        <is>
          <t>mRNA</t>
        </is>
      </c>
      <c r="H110" s="155" t="inlineStr">
        <is>
          <t>江西烈冰生物科技有限公司</t>
        </is>
      </c>
      <c r="I110" s="157" t="n"/>
      <c r="J110" s="155" t="n"/>
      <c r="K110" s="155" t="n"/>
      <c r="L110" s="77" t="inlineStr">
        <is>
          <t>加急</t>
        </is>
      </c>
      <c r="M110" s="77" t="n"/>
      <c r="N110" s="77" t="n">
        <v>73.91</v>
      </c>
      <c r="O110" s="77" t="n"/>
      <c r="P110" s="77" t="inlineStr">
        <is>
          <t>未磷酸化</t>
        </is>
      </c>
      <c r="Q110" s="77" t="inlineStr">
        <is>
          <t>未环化</t>
        </is>
      </c>
    </row>
    <row r="111" ht="30" customHeight="1" s="80">
      <c r="A111" s="159" t="n"/>
      <c r="B111" s="155" t="inlineStr">
        <is>
          <t>HGC-Lib-26084423</t>
        </is>
      </c>
      <c r="C111" s="155" t="n">
        <v>61.43</v>
      </c>
      <c r="D111" s="156" t="n">
        <v>6</v>
      </c>
      <c r="E111" s="157" t="n">
        <v>0.543</v>
      </c>
      <c r="F111" s="157">
        <f>ROUND(E111/C111*G126,3)</f>
        <v/>
      </c>
      <c r="G111" s="155" t="inlineStr">
        <is>
          <t>mRNA</t>
        </is>
      </c>
      <c r="H111" s="155" t="inlineStr">
        <is>
          <t>江西烈冰生物科技有限公司</t>
        </is>
      </c>
      <c r="I111" s="157" t="n"/>
      <c r="J111" s="155" t="n"/>
      <c r="K111" s="155" t="n"/>
      <c r="L111" s="77" t="inlineStr">
        <is>
          <t>加急</t>
        </is>
      </c>
      <c r="M111" s="77" t="n"/>
      <c r="N111" s="77" t="n">
        <v>61.43</v>
      </c>
      <c r="O111" s="77" t="n"/>
      <c r="P111" s="77" t="inlineStr">
        <is>
          <t>未磷酸化</t>
        </is>
      </c>
      <c r="Q111" s="77" t="inlineStr">
        <is>
          <t>未环化</t>
        </is>
      </c>
    </row>
    <row r="112" ht="30" customHeight="1" s="80">
      <c r="A112" s="159" t="n"/>
      <c r="B112" s="155" t="inlineStr">
        <is>
          <t>HGC-Lib-26084424</t>
        </is>
      </c>
      <c r="C112" s="155" t="n">
        <v>62.97</v>
      </c>
      <c r="D112" s="156" t="n">
        <v>6</v>
      </c>
      <c r="E112" s="157" t="n">
        <v>0.543</v>
      </c>
      <c r="F112" s="157">
        <f>ROUND(E112/C112*G126,3)</f>
        <v/>
      </c>
      <c r="G112" s="155" t="inlineStr">
        <is>
          <t>mRNA</t>
        </is>
      </c>
      <c r="H112" s="155" t="inlineStr">
        <is>
          <t>江西烈冰生物科技有限公司</t>
        </is>
      </c>
      <c r="I112" s="157" t="n"/>
      <c r="J112" s="155" t="n"/>
      <c r="K112" s="155" t="n"/>
      <c r="L112" s="77" t="inlineStr">
        <is>
          <t>加急</t>
        </is>
      </c>
      <c r="M112" s="77" t="n"/>
      <c r="N112" s="77" t="n">
        <v>62.97</v>
      </c>
      <c r="O112" s="77" t="n"/>
      <c r="P112" s="77" t="inlineStr">
        <is>
          <t>未磷酸化</t>
        </is>
      </c>
      <c r="Q112" s="77" t="inlineStr">
        <is>
          <t>未环化</t>
        </is>
      </c>
    </row>
    <row r="113" ht="30" customHeight="1" s="80">
      <c r="A113" s="159" t="n"/>
      <c r="B113" s="155" t="inlineStr">
        <is>
          <t>HGC-Lib-26084425</t>
        </is>
      </c>
      <c r="C113" s="155" t="n">
        <v>60.09</v>
      </c>
      <c r="D113" s="156" t="n">
        <v>6</v>
      </c>
      <c r="E113" s="157" t="n">
        <v>0.543</v>
      </c>
      <c r="F113" s="157">
        <f>ROUND(E113/C113*G126,3)</f>
        <v/>
      </c>
      <c r="G113" s="155" t="inlineStr">
        <is>
          <t>mRNA</t>
        </is>
      </c>
      <c r="H113" s="155" t="inlineStr">
        <is>
          <t>江西烈冰生物科技有限公司</t>
        </is>
      </c>
      <c r="I113" s="157" t="n"/>
      <c r="J113" s="155" t="n"/>
      <c r="K113" s="155" t="n"/>
      <c r="L113" s="77" t="inlineStr">
        <is>
          <t>加急</t>
        </is>
      </c>
      <c r="M113" s="77" t="n"/>
      <c r="N113" s="77" t="n">
        <v>60.09</v>
      </c>
      <c r="O113" s="77" t="n"/>
      <c r="P113" s="77" t="inlineStr">
        <is>
          <t>未磷酸化</t>
        </is>
      </c>
      <c r="Q113" s="77" t="inlineStr">
        <is>
          <t>未环化</t>
        </is>
      </c>
    </row>
    <row r="114" ht="30" customHeight="1" s="80">
      <c r="A114" s="159" t="n"/>
      <c r="B114" s="155" t="inlineStr">
        <is>
          <t>HGC-Lib-26084426</t>
        </is>
      </c>
      <c r="C114" s="155" t="n">
        <v>65.73</v>
      </c>
      <c r="D114" s="156" t="n">
        <v>6</v>
      </c>
      <c r="E114" s="157" t="n">
        <v>0.543</v>
      </c>
      <c r="F114" s="157">
        <f>ROUND(E114/C114*G126,3)</f>
        <v/>
      </c>
      <c r="G114" s="155" t="inlineStr">
        <is>
          <t>mRNA</t>
        </is>
      </c>
      <c r="H114" s="155" t="inlineStr">
        <is>
          <t>江西烈冰生物科技有限公司</t>
        </is>
      </c>
      <c r="I114" s="157" t="n"/>
      <c r="J114" s="155" t="n"/>
      <c r="K114" s="155" t="n"/>
      <c r="L114" s="77" t="inlineStr">
        <is>
          <t>加急</t>
        </is>
      </c>
      <c r="M114" s="77" t="n"/>
      <c r="N114" s="77" t="n">
        <v>65.73</v>
      </c>
      <c r="O114" s="77" t="n"/>
      <c r="P114" s="77" t="inlineStr">
        <is>
          <t>未磷酸化</t>
        </is>
      </c>
      <c r="Q114" s="77" t="inlineStr">
        <is>
          <t>未环化</t>
        </is>
      </c>
    </row>
    <row r="115" ht="30" customHeight="1" s="80">
      <c r="A115" s="159" t="n"/>
      <c r="B115" s="155" t="inlineStr">
        <is>
          <t>HGC-Lib-26084427</t>
        </is>
      </c>
      <c r="C115" s="155" t="n">
        <v>62.72</v>
      </c>
      <c r="D115" s="156" t="n">
        <v>6</v>
      </c>
      <c r="E115" s="157" t="n">
        <v>0.543</v>
      </c>
      <c r="F115" s="157">
        <f>ROUND(E115/C115*G126,3)</f>
        <v/>
      </c>
      <c r="G115" s="155" t="inlineStr">
        <is>
          <t>mRNA</t>
        </is>
      </c>
      <c r="H115" s="155" t="inlineStr">
        <is>
          <t>江西烈冰生物科技有限公司</t>
        </is>
      </c>
      <c r="I115" s="157" t="n"/>
      <c r="J115" s="155" t="n"/>
      <c r="K115" s="155" t="n"/>
      <c r="L115" s="77" t="inlineStr">
        <is>
          <t>加急</t>
        </is>
      </c>
      <c r="M115" s="77" t="n"/>
      <c r="N115" s="77" t="n">
        <v>62.72</v>
      </c>
      <c r="O115" s="77" t="n"/>
      <c r="P115" s="77" t="inlineStr">
        <is>
          <t>未磷酸化</t>
        </is>
      </c>
      <c r="Q115" s="77" t="inlineStr">
        <is>
          <t>未环化</t>
        </is>
      </c>
    </row>
    <row r="116" ht="30" customHeight="1" s="80">
      <c r="A116" s="159" t="n"/>
      <c r="B116" s="155" t="inlineStr">
        <is>
          <t>HGC-Lib-26084428</t>
        </is>
      </c>
      <c r="C116" s="155" t="n">
        <v>61.89</v>
      </c>
      <c r="D116" s="156" t="n">
        <v>6</v>
      </c>
      <c r="E116" s="157" t="n">
        <v>0.543</v>
      </c>
      <c r="F116" s="157">
        <f>ROUND(E116/C116*G126,3)</f>
        <v/>
      </c>
      <c r="G116" s="155" t="inlineStr">
        <is>
          <t>mRNA</t>
        </is>
      </c>
      <c r="H116" s="155" t="inlineStr">
        <is>
          <t>江西烈冰生物科技有限公司</t>
        </is>
      </c>
      <c r="I116" s="157" t="n"/>
      <c r="J116" s="155" t="n"/>
      <c r="K116" s="155" t="n"/>
      <c r="L116" s="77" t="inlineStr">
        <is>
          <t>加急</t>
        </is>
      </c>
      <c r="M116" s="77" t="n"/>
      <c r="N116" s="77" t="n">
        <v>61.89</v>
      </c>
      <c r="O116" s="77" t="n"/>
      <c r="P116" s="77" t="inlineStr">
        <is>
          <t>未磷酸化</t>
        </is>
      </c>
      <c r="Q116" s="77" t="inlineStr">
        <is>
          <t>未环化</t>
        </is>
      </c>
    </row>
    <row r="117" ht="30" customHeight="1" s="80">
      <c r="A117" s="159" t="n"/>
      <c r="B117" s="155" t="inlineStr">
        <is>
          <t>HGC-Lib-26084429</t>
        </is>
      </c>
      <c r="C117" s="155" t="n">
        <v>62.5</v>
      </c>
      <c r="D117" s="156" t="n">
        <v>6</v>
      </c>
      <c r="E117" s="157" t="n">
        <v>0.543</v>
      </c>
      <c r="F117" s="157">
        <f>ROUND(E117/C117*G126,3)</f>
        <v/>
      </c>
      <c r="G117" s="155" t="inlineStr">
        <is>
          <t>mRNA</t>
        </is>
      </c>
      <c r="H117" s="155" t="inlineStr">
        <is>
          <t>江西烈冰生物科技有限公司</t>
        </is>
      </c>
      <c r="I117" s="157" t="n"/>
      <c r="J117" s="155" t="n"/>
      <c r="K117" s="155" t="n"/>
      <c r="L117" s="77" t="inlineStr">
        <is>
          <t>加急</t>
        </is>
      </c>
      <c r="M117" s="77" t="n"/>
      <c r="N117" s="77" t="n">
        <v>62.5</v>
      </c>
      <c r="O117" s="77" t="n"/>
      <c r="P117" s="77" t="inlineStr">
        <is>
          <t>未磷酸化</t>
        </is>
      </c>
      <c r="Q117" s="77" t="inlineStr">
        <is>
          <t>未环化</t>
        </is>
      </c>
    </row>
    <row r="118" ht="30" customHeight="1" s="80">
      <c r="A118" s="159" t="n"/>
      <c r="B118" s="155" t="inlineStr">
        <is>
          <t>HGC-Lib-26084430</t>
        </is>
      </c>
      <c r="C118" s="155" t="n">
        <v>66.58</v>
      </c>
      <c r="D118" s="156" t="n">
        <v>6</v>
      </c>
      <c r="E118" s="157" t="n">
        <v>0.543</v>
      </c>
      <c r="F118" s="157">
        <f>ROUND(E118/C118*G126,3)</f>
        <v/>
      </c>
      <c r="G118" s="155" t="inlineStr">
        <is>
          <t>mRNA</t>
        </is>
      </c>
      <c r="H118" s="155" t="inlineStr">
        <is>
          <t>江西烈冰生物科技有限公司</t>
        </is>
      </c>
      <c r="I118" s="157" t="n"/>
      <c r="J118" s="155" t="n"/>
      <c r="K118" s="155" t="n"/>
      <c r="L118" s="77" t="inlineStr">
        <is>
          <t>加急</t>
        </is>
      </c>
      <c r="M118" s="77" t="n"/>
      <c r="N118" s="77" t="n">
        <v>66.58</v>
      </c>
      <c r="O118" s="77" t="n"/>
      <c r="P118" s="77" t="inlineStr">
        <is>
          <t>未磷酸化</t>
        </is>
      </c>
      <c r="Q118" s="77" t="inlineStr">
        <is>
          <t>未环化</t>
        </is>
      </c>
    </row>
    <row r="119" ht="30" customHeight="1" s="80">
      <c r="A119" s="159" t="n"/>
      <c r="B119" s="155" t="inlineStr">
        <is>
          <t>HGC-Lib-26084431</t>
        </is>
      </c>
      <c r="C119" s="155" t="n">
        <v>65.87</v>
      </c>
      <c r="D119" s="156" t="n">
        <v>6</v>
      </c>
      <c r="E119" s="157" t="n">
        <v>0.543</v>
      </c>
      <c r="F119" s="157">
        <f>ROUND(E119/C119*G126,3)</f>
        <v/>
      </c>
      <c r="G119" s="155" t="inlineStr">
        <is>
          <t>mRNA</t>
        </is>
      </c>
      <c r="H119" s="155" t="inlineStr">
        <is>
          <t>江西烈冰生物科技有限公司</t>
        </is>
      </c>
      <c r="I119" s="157" t="n"/>
      <c r="J119" s="155" t="n"/>
      <c r="K119" s="155" t="n"/>
      <c r="L119" s="77" t="inlineStr">
        <is>
          <t>加急</t>
        </is>
      </c>
      <c r="M119" s="77" t="n"/>
      <c r="N119" s="77" t="n">
        <v>65.87</v>
      </c>
      <c r="O119" s="77" t="n"/>
      <c r="P119" s="77" t="inlineStr">
        <is>
          <t>未磷酸化</t>
        </is>
      </c>
      <c r="Q119" s="77" t="inlineStr">
        <is>
          <t>未环化</t>
        </is>
      </c>
    </row>
    <row r="120" ht="30" customHeight="1" s="80">
      <c r="A120" s="159" t="n"/>
      <c r="B120" s="155" t="inlineStr">
        <is>
          <t>HGC-Lib-26084432</t>
        </is>
      </c>
      <c r="C120" s="155" t="n">
        <v>64.15000000000001</v>
      </c>
      <c r="D120" s="156" t="n">
        <v>6</v>
      </c>
      <c r="E120" s="157" t="n">
        <v>0.543</v>
      </c>
      <c r="F120" s="157">
        <f>ROUND(E120/C120*G126,3)</f>
        <v/>
      </c>
      <c r="G120" s="155" t="inlineStr">
        <is>
          <t>mRNA</t>
        </is>
      </c>
      <c r="H120" s="155" t="inlineStr">
        <is>
          <t>江西烈冰生物科技有限公司</t>
        </is>
      </c>
      <c r="I120" s="157" t="n"/>
      <c r="J120" s="155" t="n"/>
      <c r="K120" s="155" t="n"/>
      <c r="L120" s="77" t="inlineStr">
        <is>
          <t>加急</t>
        </is>
      </c>
      <c r="M120" s="77" t="n"/>
      <c r="N120" s="77" t="n">
        <v>64.15000000000001</v>
      </c>
      <c r="O120" s="77" t="n"/>
      <c r="P120" s="77" t="inlineStr">
        <is>
          <t>未磷酸化</t>
        </is>
      </c>
      <c r="Q120" s="77" t="inlineStr">
        <is>
          <t>未环化</t>
        </is>
      </c>
    </row>
    <row r="121" ht="30" customHeight="1" s="80">
      <c r="A121" s="159" t="n"/>
      <c r="B121" s="155" t="inlineStr">
        <is>
          <t>HGC-Lib-26084433</t>
        </is>
      </c>
      <c r="C121" s="155" t="n">
        <v>64.89</v>
      </c>
      <c r="D121" s="156" t="n">
        <v>6</v>
      </c>
      <c r="E121" s="157" t="n">
        <v>0.543</v>
      </c>
      <c r="F121" s="157">
        <f>ROUND(E121/C121*G126,3)</f>
        <v/>
      </c>
      <c r="G121" s="155" t="inlineStr">
        <is>
          <t>mRNA</t>
        </is>
      </c>
      <c r="H121" s="155" t="inlineStr">
        <is>
          <t>江西烈冰生物科技有限公司</t>
        </is>
      </c>
      <c r="I121" s="157" t="n"/>
      <c r="J121" s="155" t="n"/>
      <c r="K121" s="155" t="n"/>
      <c r="L121" s="77" t="inlineStr">
        <is>
          <t>加急</t>
        </is>
      </c>
      <c r="M121" s="77" t="n"/>
      <c r="N121" s="77" t="n">
        <v>64.89</v>
      </c>
      <c r="O121" s="77" t="n"/>
      <c r="P121" s="77" t="inlineStr">
        <is>
          <t>未磷酸化</t>
        </is>
      </c>
      <c r="Q121" s="77" t="inlineStr">
        <is>
          <t>未环化</t>
        </is>
      </c>
    </row>
    <row r="122" ht="30" customHeight="1" s="80">
      <c r="A122" s="159" t="n"/>
      <c r="B122" s="155" t="inlineStr">
        <is>
          <t>HGC-Lib-26084434</t>
        </is>
      </c>
      <c r="C122" s="155" t="n">
        <v>64.81</v>
      </c>
      <c r="D122" s="156" t="n">
        <v>6</v>
      </c>
      <c r="E122" s="157" t="n">
        <v>0.543</v>
      </c>
      <c r="F122" s="157">
        <f>ROUND(E122/C122*G126,3)</f>
        <v/>
      </c>
      <c r="G122" s="155" t="inlineStr">
        <is>
          <t>mRNA</t>
        </is>
      </c>
      <c r="H122" s="155" t="inlineStr">
        <is>
          <t>江西烈冰生物科技有限公司</t>
        </is>
      </c>
      <c r="I122" s="157" t="n"/>
      <c r="J122" s="155" t="n"/>
      <c r="K122" s="155" t="n"/>
      <c r="L122" s="77" t="inlineStr">
        <is>
          <t>加急</t>
        </is>
      </c>
      <c r="M122" s="77" t="n"/>
      <c r="N122" s="77" t="n">
        <v>64.81</v>
      </c>
      <c r="O122" s="77" t="n"/>
      <c r="P122" s="77" t="inlineStr">
        <is>
          <t>未磷酸化</t>
        </is>
      </c>
      <c r="Q122" s="77" t="inlineStr">
        <is>
          <t>未环化</t>
        </is>
      </c>
    </row>
    <row r="123" ht="30" customHeight="1" s="80">
      <c r="A123" s="159" t="n"/>
      <c r="B123" s="155" t="inlineStr">
        <is>
          <t>HGC-Lib-26084435</t>
        </is>
      </c>
      <c r="C123" s="155" t="n">
        <v>64.92</v>
      </c>
      <c r="D123" s="156" t="n">
        <v>6</v>
      </c>
      <c r="E123" s="157" t="n">
        <v>0.543</v>
      </c>
      <c r="F123" s="157">
        <f>ROUND(E123/C123*G126,3)</f>
        <v/>
      </c>
      <c r="G123" s="155" t="inlineStr">
        <is>
          <t>mRNA</t>
        </is>
      </c>
      <c r="H123" s="155" t="inlineStr">
        <is>
          <t>江西烈冰生物科技有限公司</t>
        </is>
      </c>
      <c r="I123" s="157" t="n"/>
      <c r="J123" s="155" t="n"/>
      <c r="K123" s="155" t="n"/>
      <c r="L123" s="77" t="inlineStr">
        <is>
          <t>加急</t>
        </is>
      </c>
      <c r="M123" s="77" t="n"/>
      <c r="N123" s="77" t="n">
        <v>64.92</v>
      </c>
      <c r="O123" s="77" t="n"/>
      <c r="P123" s="77" t="inlineStr">
        <is>
          <t>未磷酸化</t>
        </is>
      </c>
      <c r="Q123" s="77" t="inlineStr">
        <is>
          <t>未环化</t>
        </is>
      </c>
    </row>
    <row r="124" ht="30" customHeight="1" s="80">
      <c r="A124" s="159" t="n"/>
      <c r="B124" s="155" t="inlineStr">
        <is>
          <t>HGC-Lib-26084436</t>
        </is>
      </c>
      <c r="C124" s="155" t="n">
        <v>76.63</v>
      </c>
      <c r="D124" s="156" t="n">
        <v>6</v>
      </c>
      <c r="E124" s="157" t="n">
        <v>0.543</v>
      </c>
      <c r="F124" s="157">
        <f>ROUND(E124/C124*G126,3)</f>
        <v/>
      </c>
      <c r="G124" s="155" t="inlineStr">
        <is>
          <t>mRNA</t>
        </is>
      </c>
      <c r="H124" s="155" t="inlineStr">
        <is>
          <t>江西烈冰生物科技有限公司</t>
        </is>
      </c>
      <c r="I124" s="157" t="n"/>
      <c r="J124" s="155" t="n"/>
      <c r="K124" s="155" t="n"/>
      <c r="L124" s="77" t="inlineStr">
        <is>
          <t>加急</t>
        </is>
      </c>
      <c r="M124" s="77" t="n"/>
      <c r="N124" s="77" t="n">
        <v>76.63</v>
      </c>
      <c r="O124" s="77" t="n"/>
      <c r="P124" s="77" t="inlineStr">
        <is>
          <t>未磷酸化</t>
        </is>
      </c>
      <c r="Q124" s="77" t="inlineStr">
        <is>
          <t>未环化</t>
        </is>
      </c>
    </row>
    <row r="125" ht="30" customHeight="1" s="80">
      <c r="A125" s="160" t="n"/>
      <c r="B125" s="155" t="inlineStr">
        <is>
          <t>HGC-Lib-26084437</t>
        </is>
      </c>
      <c r="C125" s="155" t="n">
        <v>68.52</v>
      </c>
      <c r="D125" s="156" t="n">
        <v>6</v>
      </c>
      <c r="E125" s="157" t="n">
        <v>0.543</v>
      </c>
      <c r="F125" s="157">
        <f>ROUND(E125/C125*G126,3)</f>
        <v/>
      </c>
      <c r="G125" s="155" t="inlineStr">
        <is>
          <t>mRNA</t>
        </is>
      </c>
      <c r="H125" s="155" t="inlineStr">
        <is>
          <t>江西烈冰生物科技有限公司</t>
        </is>
      </c>
      <c r="I125" s="157" t="n"/>
      <c r="J125" s="155" t="n"/>
      <c r="K125" s="155" t="n"/>
      <c r="L125" s="77" t="inlineStr">
        <is>
          <t>加急</t>
        </is>
      </c>
      <c r="M125" s="77" t="n"/>
      <c r="N125" s="77" t="n">
        <v>68.52</v>
      </c>
      <c r="O125" s="77" t="n"/>
      <c r="P125" s="77" t="inlineStr">
        <is>
          <t>未磷酸化</t>
        </is>
      </c>
      <c r="Q125" s="77" t="inlineStr">
        <is>
          <t>未环化</t>
        </is>
      </c>
    </row>
    <row r="126" ht="30" customHeight="1" s="80">
      <c r="A126" s="78" t="n"/>
      <c r="B126" s="78" t="n"/>
      <c r="C126" s="78" t="n"/>
      <c r="D126" s="86">
        <f>ROUND(SUM(D34:D125),2)</f>
        <v/>
      </c>
      <c r="E126" s="87" t="n">
        <v>49.956</v>
      </c>
      <c r="F126" s="87">
        <f>IF(G126&gt;1,ROUND(SUM(F34:F125)/G126*2,3),ROUND(SUM(F34:F125),3))</f>
        <v/>
      </c>
      <c r="G126" s="77" t="n">
        <v>72</v>
      </c>
      <c r="H126" s="78" t="n"/>
      <c r="I126" s="158">
        <f>ROUND(20-F126,3)</f>
        <v/>
      </c>
      <c r="J126" s="78" t="n"/>
      <c r="K126" s="78" t="n"/>
      <c r="L126" s="78" t="n"/>
      <c r="M126" s="77">
        <f>AVERAGE(M34:M125)</f>
        <v/>
      </c>
      <c r="N126" s="78" t="n"/>
      <c r="O126" s="78" t="n"/>
      <c r="P126" s="78" t="n"/>
      <c r="Q126" s="78" t="n"/>
    </row>
    <row r="127" ht="30" customHeight="1" s="80">
      <c r="A127" s="155" t="inlineStr">
        <is>
          <t>B9</t>
        </is>
      </c>
      <c r="B127" s="155" t="inlineStr">
        <is>
          <t>HGC-Lib-26084438</t>
        </is>
      </c>
      <c r="C127" s="155" t="n">
        <v>68.77</v>
      </c>
      <c r="D127" s="156" t="n">
        <v>6</v>
      </c>
      <c r="E127" s="157" t="n">
        <v>0.543</v>
      </c>
      <c r="F127" s="157">
        <f>ROUND(E127/C127*G219,3)</f>
        <v/>
      </c>
      <c r="G127" s="155" t="inlineStr">
        <is>
          <t>mRNA</t>
        </is>
      </c>
      <c r="H127" s="155" t="inlineStr">
        <is>
          <t>江西烈冰生物科技有限公司</t>
        </is>
      </c>
      <c r="I127" s="157" t="n"/>
      <c r="J127" s="155" t="n"/>
      <c r="K127" s="155" t="n"/>
      <c r="L127" s="77" t="inlineStr">
        <is>
          <t>加急</t>
        </is>
      </c>
      <c r="M127" s="77" t="n"/>
      <c r="N127" s="77" t="n">
        <v>68.77</v>
      </c>
      <c r="O127" s="77" t="n"/>
      <c r="P127" s="77" t="inlineStr">
        <is>
          <t>未磷酸化</t>
        </is>
      </c>
      <c r="Q127" s="77" t="inlineStr">
        <is>
          <t>未环化</t>
        </is>
      </c>
    </row>
    <row r="128" ht="30" customHeight="1" s="80">
      <c r="A128" s="159" t="n"/>
      <c r="B128" s="155" t="inlineStr">
        <is>
          <t>HGC-Lib-26084439</t>
        </is>
      </c>
      <c r="C128" s="155" t="n">
        <v>69.29000000000001</v>
      </c>
      <c r="D128" s="156" t="n">
        <v>6</v>
      </c>
      <c r="E128" s="157" t="n">
        <v>0.543</v>
      </c>
      <c r="F128" s="157">
        <f>ROUND(E128/C128*G219,3)</f>
        <v/>
      </c>
      <c r="G128" s="155" t="inlineStr">
        <is>
          <t>mRNA</t>
        </is>
      </c>
      <c r="H128" s="155" t="inlineStr">
        <is>
          <t>江西烈冰生物科技有限公司</t>
        </is>
      </c>
      <c r="I128" s="157" t="n"/>
      <c r="J128" s="155" t="n"/>
      <c r="K128" s="155" t="n"/>
      <c r="L128" s="77" t="inlineStr">
        <is>
          <t>加急</t>
        </is>
      </c>
      <c r="M128" s="77" t="n"/>
      <c r="N128" s="77" t="n">
        <v>69.29000000000001</v>
      </c>
      <c r="O128" s="77" t="n"/>
      <c r="P128" s="77" t="inlineStr">
        <is>
          <t>未磷酸化</t>
        </is>
      </c>
      <c r="Q128" s="77" t="inlineStr">
        <is>
          <t>未环化</t>
        </is>
      </c>
    </row>
    <row r="129" ht="30" customHeight="1" s="80">
      <c r="A129" s="159" t="n"/>
      <c r="B129" s="155" t="inlineStr">
        <is>
          <t>HGC-Lib-26084440</t>
        </is>
      </c>
      <c r="C129" s="155" t="n">
        <v>68.29000000000001</v>
      </c>
      <c r="D129" s="156" t="n">
        <v>6</v>
      </c>
      <c r="E129" s="157" t="n">
        <v>0.543</v>
      </c>
      <c r="F129" s="157">
        <f>ROUND(E129/C129*G219,3)</f>
        <v/>
      </c>
      <c r="G129" s="155" t="inlineStr">
        <is>
          <t>mRNA</t>
        </is>
      </c>
      <c r="H129" s="155" t="inlineStr">
        <is>
          <t>江西烈冰生物科技有限公司</t>
        </is>
      </c>
      <c r="I129" s="157" t="n"/>
      <c r="J129" s="155" t="n"/>
      <c r="K129" s="155" t="n"/>
      <c r="L129" s="77" t="inlineStr">
        <is>
          <t>加急</t>
        </is>
      </c>
      <c r="M129" s="77" t="n"/>
      <c r="N129" s="77" t="n">
        <v>68.29000000000001</v>
      </c>
      <c r="O129" s="77" t="n"/>
      <c r="P129" s="77" t="inlineStr">
        <is>
          <t>未磷酸化</t>
        </is>
      </c>
      <c r="Q129" s="77" t="inlineStr">
        <is>
          <t>未环化</t>
        </is>
      </c>
    </row>
    <row r="130" ht="30" customHeight="1" s="80">
      <c r="A130" s="159" t="n"/>
      <c r="B130" s="155" t="inlineStr">
        <is>
          <t>HGC-Lib-26084441</t>
        </is>
      </c>
      <c r="C130" s="155" t="n">
        <v>68.14</v>
      </c>
      <c r="D130" s="156" t="n">
        <v>6</v>
      </c>
      <c r="E130" s="157" t="n">
        <v>0.543</v>
      </c>
      <c r="F130" s="157">
        <f>ROUND(E130/C130*G219,3)</f>
        <v/>
      </c>
      <c r="G130" s="155" t="inlineStr">
        <is>
          <t>mRNA</t>
        </is>
      </c>
      <c r="H130" s="155" t="inlineStr">
        <is>
          <t>江西烈冰生物科技有限公司</t>
        </is>
      </c>
      <c r="I130" s="157" t="n"/>
      <c r="J130" s="155" t="n"/>
      <c r="K130" s="155" t="n"/>
      <c r="L130" s="77" t="inlineStr">
        <is>
          <t>加急</t>
        </is>
      </c>
      <c r="M130" s="77" t="n"/>
      <c r="N130" s="77" t="n">
        <v>68.14</v>
      </c>
      <c r="O130" s="77" t="n"/>
      <c r="P130" s="77" t="inlineStr">
        <is>
          <t>未磷酸化</t>
        </is>
      </c>
      <c r="Q130" s="77" t="inlineStr">
        <is>
          <t>未环化</t>
        </is>
      </c>
    </row>
    <row r="131" ht="30" customHeight="1" s="80">
      <c r="A131" s="159" t="n"/>
      <c r="B131" s="155" t="inlineStr">
        <is>
          <t>HGC-Lib-26084442</t>
        </is>
      </c>
      <c r="C131" s="155" t="n">
        <v>64.98</v>
      </c>
      <c r="D131" s="156" t="n">
        <v>6</v>
      </c>
      <c r="E131" s="157" t="n">
        <v>0.543</v>
      </c>
      <c r="F131" s="157">
        <f>ROUND(E131/C131*G219,3)</f>
        <v/>
      </c>
      <c r="G131" s="155" t="inlineStr">
        <is>
          <t>mRNA</t>
        </is>
      </c>
      <c r="H131" s="155" t="inlineStr">
        <is>
          <t>江西烈冰生物科技有限公司</t>
        </is>
      </c>
      <c r="I131" s="157" t="n"/>
      <c r="J131" s="155" t="n"/>
      <c r="K131" s="155" t="n"/>
      <c r="L131" s="77" t="inlineStr">
        <is>
          <t>加急</t>
        </is>
      </c>
      <c r="M131" s="77" t="n"/>
      <c r="N131" s="77" t="n">
        <v>64.98</v>
      </c>
      <c r="O131" s="77" t="n"/>
      <c r="P131" s="77" t="inlineStr">
        <is>
          <t>未磷酸化</t>
        </is>
      </c>
      <c r="Q131" s="77" t="inlineStr">
        <is>
          <t>未环化</t>
        </is>
      </c>
    </row>
    <row r="132" ht="30" customHeight="1" s="80">
      <c r="A132" s="159" t="n"/>
      <c r="B132" s="155" t="inlineStr">
        <is>
          <t>HGC-Lib-26084443</t>
        </is>
      </c>
      <c r="C132" s="155" t="n">
        <v>73.62</v>
      </c>
      <c r="D132" s="156" t="n">
        <v>6</v>
      </c>
      <c r="E132" s="157" t="n">
        <v>0.543</v>
      </c>
      <c r="F132" s="157">
        <f>ROUND(E132/C132*G219,3)</f>
        <v/>
      </c>
      <c r="G132" s="155" t="inlineStr">
        <is>
          <t>mRNA</t>
        </is>
      </c>
      <c r="H132" s="155" t="inlineStr">
        <is>
          <t>江西烈冰生物科技有限公司</t>
        </is>
      </c>
      <c r="I132" s="157" t="n"/>
      <c r="J132" s="155" t="n"/>
      <c r="K132" s="155" t="n"/>
      <c r="L132" s="77" t="inlineStr">
        <is>
          <t>加急</t>
        </is>
      </c>
      <c r="M132" s="77" t="n"/>
      <c r="N132" s="77" t="n">
        <v>73.62</v>
      </c>
      <c r="O132" s="77" t="n"/>
      <c r="P132" s="77" t="inlineStr">
        <is>
          <t>未磷酸化</t>
        </is>
      </c>
      <c r="Q132" s="77" t="inlineStr">
        <is>
          <t>未环化</t>
        </is>
      </c>
    </row>
    <row r="133" ht="30" customHeight="1" s="80">
      <c r="A133" s="159" t="n"/>
      <c r="B133" s="155" t="inlineStr">
        <is>
          <t>HGC-Lib-26084444</t>
        </is>
      </c>
      <c r="C133" s="155" t="n">
        <v>74.44</v>
      </c>
      <c r="D133" s="156" t="n">
        <v>6</v>
      </c>
      <c r="E133" s="157" t="n">
        <v>0.543</v>
      </c>
      <c r="F133" s="157">
        <f>ROUND(E133/C133*G219,3)</f>
        <v/>
      </c>
      <c r="G133" s="155" t="inlineStr">
        <is>
          <t>mRNA</t>
        </is>
      </c>
      <c r="H133" s="155" t="inlineStr">
        <is>
          <t>江西烈冰生物科技有限公司</t>
        </is>
      </c>
      <c r="I133" s="157" t="n"/>
      <c r="J133" s="155" t="n"/>
      <c r="K133" s="155" t="n"/>
      <c r="L133" s="77" t="inlineStr">
        <is>
          <t>加急</t>
        </is>
      </c>
      <c r="M133" s="77" t="n"/>
      <c r="N133" s="77" t="n">
        <v>74.44</v>
      </c>
      <c r="O133" s="77" t="n"/>
      <c r="P133" s="77" t="inlineStr">
        <is>
          <t>未磷酸化</t>
        </is>
      </c>
      <c r="Q133" s="77" t="inlineStr">
        <is>
          <t>未环化</t>
        </is>
      </c>
    </row>
    <row r="134" ht="30" customHeight="1" s="80">
      <c r="A134" s="159" t="n"/>
      <c r="B134" s="155" t="inlineStr">
        <is>
          <t>HGC-Lib-26084445</t>
        </is>
      </c>
      <c r="C134" s="155" t="n">
        <v>74.69</v>
      </c>
      <c r="D134" s="156" t="n">
        <v>6</v>
      </c>
      <c r="E134" s="157" t="n">
        <v>0.543</v>
      </c>
      <c r="F134" s="157">
        <f>ROUND(E134/C134*G219,3)</f>
        <v/>
      </c>
      <c r="G134" s="155" t="inlineStr">
        <is>
          <t>mRNA</t>
        </is>
      </c>
      <c r="H134" s="155" t="inlineStr">
        <is>
          <t>江西烈冰生物科技有限公司</t>
        </is>
      </c>
      <c r="I134" s="157" t="n"/>
      <c r="J134" s="155" t="n"/>
      <c r="K134" s="155" t="n"/>
      <c r="L134" s="77" t="inlineStr">
        <is>
          <t>加急</t>
        </is>
      </c>
      <c r="M134" s="77" t="n"/>
      <c r="N134" s="77" t="n">
        <v>74.69</v>
      </c>
      <c r="O134" s="77" t="n"/>
      <c r="P134" s="77" t="inlineStr">
        <is>
          <t>未磷酸化</t>
        </is>
      </c>
      <c r="Q134" s="77" t="inlineStr">
        <is>
          <t>未环化</t>
        </is>
      </c>
    </row>
    <row r="135" ht="30" customHeight="1" s="80">
      <c r="A135" s="159" t="n"/>
      <c r="B135" s="155" t="inlineStr">
        <is>
          <t>HGC-Lib-26084446</t>
        </is>
      </c>
      <c r="C135" s="155" t="n">
        <v>69.92</v>
      </c>
      <c r="D135" s="156" t="n">
        <v>6</v>
      </c>
      <c r="E135" s="157" t="n">
        <v>0.543</v>
      </c>
      <c r="F135" s="157">
        <f>ROUND(E135/C135*G219,3)</f>
        <v/>
      </c>
      <c r="G135" s="155" t="inlineStr">
        <is>
          <t>mRNA</t>
        </is>
      </c>
      <c r="H135" s="155" t="inlineStr">
        <is>
          <t>江西烈冰生物科技有限公司</t>
        </is>
      </c>
      <c r="I135" s="157" t="n"/>
      <c r="J135" s="155" t="n"/>
      <c r="K135" s="155" t="n"/>
      <c r="L135" s="77" t="inlineStr">
        <is>
          <t>加急</t>
        </is>
      </c>
      <c r="M135" s="77" t="n"/>
      <c r="N135" s="77" t="n">
        <v>69.92</v>
      </c>
      <c r="O135" s="77" t="n"/>
      <c r="P135" s="77" t="inlineStr">
        <is>
          <t>未磷酸化</t>
        </is>
      </c>
      <c r="Q135" s="77" t="inlineStr">
        <is>
          <t>未环化</t>
        </is>
      </c>
    </row>
    <row r="136" ht="30" customHeight="1" s="80">
      <c r="A136" s="159" t="n"/>
      <c r="B136" s="155" t="inlineStr">
        <is>
          <t>HGC-Lib-26084447</t>
        </is>
      </c>
      <c r="C136" s="155" t="n">
        <v>79.09999999999999</v>
      </c>
      <c r="D136" s="156" t="n">
        <v>6</v>
      </c>
      <c r="E136" s="157" t="n">
        <v>0.543</v>
      </c>
      <c r="F136" s="157">
        <f>ROUND(E136/C136*G219,3)</f>
        <v/>
      </c>
      <c r="G136" s="155" t="inlineStr">
        <is>
          <t>mRNA</t>
        </is>
      </c>
      <c r="H136" s="155" t="inlineStr">
        <is>
          <t>江西烈冰生物科技有限公司</t>
        </is>
      </c>
      <c r="I136" s="157" t="n"/>
      <c r="J136" s="155" t="n"/>
      <c r="K136" s="155" t="n"/>
      <c r="L136" s="77" t="inlineStr">
        <is>
          <t>加急</t>
        </is>
      </c>
      <c r="M136" s="77" t="n"/>
      <c r="N136" s="77" t="n">
        <v>79.09999999999999</v>
      </c>
      <c r="O136" s="77" t="n"/>
      <c r="P136" s="77" t="inlineStr">
        <is>
          <t>未磷酸化</t>
        </is>
      </c>
      <c r="Q136" s="77" t="inlineStr">
        <is>
          <t>未环化</t>
        </is>
      </c>
    </row>
    <row r="137" ht="30" customHeight="1" s="80">
      <c r="A137" s="159" t="n"/>
      <c r="B137" s="155" t="inlineStr">
        <is>
          <t>HGC-Lib-26084448</t>
        </is>
      </c>
      <c r="C137" s="155" t="n">
        <v>76.15000000000001</v>
      </c>
      <c r="D137" s="156" t="n">
        <v>6</v>
      </c>
      <c r="E137" s="157" t="n">
        <v>0.543</v>
      </c>
      <c r="F137" s="157">
        <f>ROUND(E137/C137*G219,3)</f>
        <v/>
      </c>
      <c r="G137" s="155" t="inlineStr">
        <is>
          <t>mRNA</t>
        </is>
      </c>
      <c r="H137" s="155" t="inlineStr">
        <is>
          <t>江西烈冰生物科技有限公司</t>
        </is>
      </c>
      <c r="I137" s="157" t="n"/>
      <c r="J137" s="155" t="n"/>
      <c r="K137" s="155" t="n"/>
      <c r="L137" s="77" t="inlineStr">
        <is>
          <t>加急</t>
        </is>
      </c>
      <c r="M137" s="77" t="n"/>
      <c r="N137" s="77" t="n">
        <v>76.15000000000001</v>
      </c>
      <c r="O137" s="77" t="n"/>
      <c r="P137" s="77" t="inlineStr">
        <is>
          <t>未磷酸化</t>
        </is>
      </c>
      <c r="Q137" s="77" t="inlineStr">
        <is>
          <t>未环化</t>
        </is>
      </c>
    </row>
    <row r="138" ht="30" customHeight="1" s="80">
      <c r="A138" s="159" t="n"/>
      <c r="B138" s="155" t="inlineStr">
        <is>
          <t>HGC-Lib-26084449</t>
        </is>
      </c>
      <c r="C138" s="155" t="n">
        <v>68.63</v>
      </c>
      <c r="D138" s="156" t="n">
        <v>6</v>
      </c>
      <c r="E138" s="157" t="n">
        <v>0.543</v>
      </c>
      <c r="F138" s="157">
        <f>ROUND(E138/C138*G219,3)</f>
        <v/>
      </c>
      <c r="G138" s="155" t="inlineStr">
        <is>
          <t>mRNA</t>
        </is>
      </c>
      <c r="H138" s="155" t="inlineStr">
        <is>
          <t>江西烈冰生物科技有限公司</t>
        </is>
      </c>
      <c r="I138" s="157" t="n"/>
      <c r="J138" s="155" t="n"/>
      <c r="K138" s="155" t="n"/>
      <c r="L138" s="77" t="inlineStr">
        <is>
          <t>加急</t>
        </is>
      </c>
      <c r="M138" s="77" t="n"/>
      <c r="N138" s="77" t="n">
        <v>68.63</v>
      </c>
      <c r="O138" s="77" t="n"/>
      <c r="P138" s="77" t="inlineStr">
        <is>
          <t>未磷酸化</t>
        </is>
      </c>
      <c r="Q138" s="77" t="inlineStr">
        <is>
          <t>未环化</t>
        </is>
      </c>
    </row>
    <row r="139" ht="30" customHeight="1" s="80">
      <c r="A139" s="159" t="n"/>
      <c r="B139" s="155" t="inlineStr">
        <is>
          <t>HGC-Lib-26084450</t>
        </is>
      </c>
      <c r="C139" s="155" t="n">
        <v>74.63</v>
      </c>
      <c r="D139" s="156" t="n">
        <v>6</v>
      </c>
      <c r="E139" s="157" t="n">
        <v>0.543</v>
      </c>
      <c r="F139" s="157">
        <f>ROUND(E139/C139*G219,3)</f>
        <v/>
      </c>
      <c r="G139" s="155" t="inlineStr">
        <is>
          <t>mRNA</t>
        </is>
      </c>
      <c r="H139" s="155" t="inlineStr">
        <is>
          <t>江西烈冰生物科技有限公司</t>
        </is>
      </c>
      <c r="I139" s="157" t="n"/>
      <c r="J139" s="155" t="n"/>
      <c r="K139" s="155" t="n"/>
      <c r="L139" s="77" t="inlineStr">
        <is>
          <t>加急</t>
        </is>
      </c>
      <c r="M139" s="77" t="n"/>
      <c r="N139" s="77" t="n">
        <v>74.63</v>
      </c>
      <c r="O139" s="77" t="n"/>
      <c r="P139" s="77" t="inlineStr">
        <is>
          <t>未磷酸化</t>
        </is>
      </c>
      <c r="Q139" s="77" t="inlineStr">
        <is>
          <t>未环化</t>
        </is>
      </c>
    </row>
    <row r="140" ht="30" customHeight="1" s="80">
      <c r="A140" s="159" t="n"/>
      <c r="B140" s="155" t="inlineStr">
        <is>
          <t>HGC-Lib-26084451</t>
        </is>
      </c>
      <c r="C140" s="155" t="n">
        <v>66.70999999999999</v>
      </c>
      <c r="D140" s="156" t="n">
        <v>6</v>
      </c>
      <c r="E140" s="157" t="n">
        <v>0.543</v>
      </c>
      <c r="F140" s="157">
        <f>ROUND(E140/C140*G219,3)</f>
        <v/>
      </c>
      <c r="G140" s="155" t="inlineStr">
        <is>
          <t>mRNA</t>
        </is>
      </c>
      <c r="H140" s="155" t="inlineStr">
        <is>
          <t>江西烈冰生物科技有限公司</t>
        </is>
      </c>
      <c r="I140" s="157" t="n"/>
      <c r="J140" s="155" t="n"/>
      <c r="K140" s="155" t="n"/>
      <c r="L140" s="77" t="inlineStr">
        <is>
          <t>加急</t>
        </is>
      </c>
      <c r="M140" s="77" t="n"/>
      <c r="N140" s="77" t="n">
        <v>66.70999999999999</v>
      </c>
      <c r="O140" s="77" t="n"/>
      <c r="P140" s="77" t="inlineStr">
        <is>
          <t>未磷酸化</t>
        </is>
      </c>
      <c r="Q140" s="77" t="inlineStr">
        <is>
          <t>未环化</t>
        </is>
      </c>
    </row>
    <row r="141" ht="30" customHeight="1" s="80">
      <c r="A141" s="159" t="n"/>
      <c r="B141" s="155" t="inlineStr">
        <is>
          <t>HGC-Lib-26084452</t>
        </is>
      </c>
      <c r="C141" s="155" t="n">
        <v>69.36</v>
      </c>
      <c r="D141" s="156" t="n">
        <v>6</v>
      </c>
      <c r="E141" s="157" t="n">
        <v>0.543</v>
      </c>
      <c r="F141" s="157">
        <f>ROUND(E141/C141*G219,3)</f>
        <v/>
      </c>
      <c r="G141" s="155" t="inlineStr">
        <is>
          <t>mRNA</t>
        </is>
      </c>
      <c r="H141" s="155" t="inlineStr">
        <is>
          <t>江西烈冰生物科技有限公司</t>
        </is>
      </c>
      <c r="I141" s="157" t="n"/>
      <c r="J141" s="155" t="n"/>
      <c r="K141" s="155" t="n"/>
      <c r="L141" s="77" t="inlineStr">
        <is>
          <t>加急</t>
        </is>
      </c>
      <c r="M141" s="77" t="n"/>
      <c r="N141" s="77" t="n">
        <v>69.36</v>
      </c>
      <c r="O141" s="77" t="n"/>
      <c r="P141" s="77" t="inlineStr">
        <is>
          <t>未磷酸化</t>
        </is>
      </c>
      <c r="Q141" s="77" t="inlineStr">
        <is>
          <t>未环化</t>
        </is>
      </c>
    </row>
    <row r="142" ht="30" customHeight="1" s="80">
      <c r="A142" s="159" t="n"/>
      <c r="B142" s="155" t="inlineStr">
        <is>
          <t>HGC-Lib-26084453</t>
        </is>
      </c>
      <c r="C142" s="155" t="n">
        <v>69</v>
      </c>
      <c r="D142" s="156" t="n">
        <v>6</v>
      </c>
      <c r="E142" s="157" t="n">
        <v>0.543</v>
      </c>
      <c r="F142" s="157">
        <f>ROUND(E142/C142*G219,3)</f>
        <v/>
      </c>
      <c r="G142" s="155" t="inlineStr">
        <is>
          <t>mRNA</t>
        </is>
      </c>
      <c r="H142" s="155" t="inlineStr">
        <is>
          <t>江西烈冰生物科技有限公司</t>
        </is>
      </c>
      <c r="I142" s="157" t="n"/>
      <c r="J142" s="155" t="n"/>
      <c r="K142" s="155" t="n"/>
      <c r="L142" s="77" t="inlineStr">
        <is>
          <t>加急</t>
        </is>
      </c>
      <c r="M142" s="77" t="n"/>
      <c r="N142" s="77" t="n">
        <v>69</v>
      </c>
      <c r="O142" s="77" t="n"/>
      <c r="P142" s="77" t="inlineStr">
        <is>
          <t>未磷酸化</t>
        </is>
      </c>
      <c r="Q142" s="77" t="inlineStr">
        <is>
          <t>未环化</t>
        </is>
      </c>
    </row>
    <row r="143" ht="30" customHeight="1" s="80">
      <c r="A143" s="159" t="n"/>
      <c r="B143" s="155" t="inlineStr">
        <is>
          <t>HGC-Lib-26084454</t>
        </is>
      </c>
      <c r="C143" s="155" t="n">
        <v>71.86</v>
      </c>
      <c r="D143" s="156" t="n">
        <v>6</v>
      </c>
      <c r="E143" s="157" t="n">
        <v>0.543</v>
      </c>
      <c r="F143" s="157">
        <f>ROUND(E143/C143*G219,3)</f>
        <v/>
      </c>
      <c r="G143" s="155" t="inlineStr">
        <is>
          <t>mRNA</t>
        </is>
      </c>
      <c r="H143" s="155" t="inlineStr">
        <is>
          <t>江西烈冰生物科技有限公司</t>
        </is>
      </c>
      <c r="I143" s="157" t="n"/>
      <c r="J143" s="155" t="n"/>
      <c r="K143" s="155" t="n"/>
      <c r="L143" s="77" t="inlineStr">
        <is>
          <t>加急</t>
        </is>
      </c>
      <c r="M143" s="77" t="n"/>
      <c r="N143" s="77" t="n">
        <v>71.86</v>
      </c>
      <c r="O143" s="77" t="n"/>
      <c r="P143" s="77" t="inlineStr">
        <is>
          <t>未磷酸化</t>
        </is>
      </c>
      <c r="Q143" s="77" t="inlineStr">
        <is>
          <t>未环化</t>
        </is>
      </c>
    </row>
    <row r="144" ht="30" customHeight="1" s="80">
      <c r="A144" s="159" t="n"/>
      <c r="B144" s="155" t="inlineStr">
        <is>
          <t>HGC-Lib-26084455</t>
        </is>
      </c>
      <c r="C144" s="155" t="n">
        <v>80.65000000000001</v>
      </c>
      <c r="D144" s="156" t="n">
        <v>6</v>
      </c>
      <c r="E144" s="157" t="n">
        <v>0.543</v>
      </c>
      <c r="F144" s="157">
        <f>ROUND(E144/C144*G219,3)</f>
        <v/>
      </c>
      <c r="G144" s="155" t="inlineStr">
        <is>
          <t>mRNA</t>
        </is>
      </c>
      <c r="H144" s="155" t="inlineStr">
        <is>
          <t>江西烈冰生物科技有限公司</t>
        </is>
      </c>
      <c r="I144" s="157" t="n"/>
      <c r="J144" s="155" t="n"/>
      <c r="K144" s="155" t="n"/>
      <c r="L144" s="77" t="inlineStr">
        <is>
          <t>加急</t>
        </is>
      </c>
      <c r="M144" s="77" t="n"/>
      <c r="N144" s="77" t="n">
        <v>80.65000000000001</v>
      </c>
      <c r="O144" s="77" t="n"/>
      <c r="P144" s="77" t="inlineStr">
        <is>
          <t>未磷酸化</t>
        </is>
      </c>
      <c r="Q144" s="77" t="inlineStr">
        <is>
          <t>未环化</t>
        </is>
      </c>
    </row>
    <row r="145" ht="30" customHeight="1" s="80">
      <c r="A145" s="159" t="n"/>
      <c r="B145" s="155" t="inlineStr">
        <is>
          <t>HGC-Lib-26084456</t>
        </is>
      </c>
      <c r="C145" s="155" t="n">
        <v>73.78</v>
      </c>
      <c r="D145" s="156" t="n">
        <v>6</v>
      </c>
      <c r="E145" s="157" t="n">
        <v>0.543</v>
      </c>
      <c r="F145" s="157">
        <f>ROUND(E145/C145*G219,3)</f>
        <v/>
      </c>
      <c r="G145" s="155" t="inlineStr">
        <is>
          <t>mRNA</t>
        </is>
      </c>
      <c r="H145" s="155" t="inlineStr">
        <is>
          <t>江西烈冰生物科技有限公司</t>
        </is>
      </c>
      <c r="I145" s="157" t="n"/>
      <c r="J145" s="155" t="n"/>
      <c r="K145" s="155" t="n"/>
      <c r="L145" s="77" t="inlineStr">
        <is>
          <t>加急</t>
        </is>
      </c>
      <c r="M145" s="77" t="n"/>
      <c r="N145" s="77" t="n">
        <v>73.78</v>
      </c>
      <c r="O145" s="77" t="n"/>
      <c r="P145" s="77" t="inlineStr">
        <is>
          <t>未磷酸化</t>
        </is>
      </c>
      <c r="Q145" s="77" t="inlineStr">
        <is>
          <t>未环化</t>
        </is>
      </c>
    </row>
    <row r="146" ht="30" customHeight="1" s="80">
      <c r="A146" s="159" t="n"/>
      <c r="B146" s="155" t="inlineStr">
        <is>
          <t>HGC-Lib-26084457</t>
        </is>
      </c>
      <c r="C146" s="155" t="n">
        <v>80.23</v>
      </c>
      <c r="D146" s="156" t="n">
        <v>6</v>
      </c>
      <c r="E146" s="157" t="n">
        <v>0.543</v>
      </c>
      <c r="F146" s="157">
        <f>ROUND(E146/C146*G219,3)</f>
        <v/>
      </c>
      <c r="G146" s="155" t="inlineStr">
        <is>
          <t>mRNA</t>
        </is>
      </c>
      <c r="H146" s="155" t="inlineStr">
        <is>
          <t>江西烈冰生物科技有限公司</t>
        </is>
      </c>
      <c r="I146" s="157" t="n"/>
      <c r="J146" s="155" t="n"/>
      <c r="K146" s="155" t="n"/>
      <c r="L146" s="77" t="inlineStr">
        <is>
          <t>加急</t>
        </is>
      </c>
      <c r="M146" s="77" t="n"/>
      <c r="N146" s="77" t="n">
        <v>80.23</v>
      </c>
      <c r="O146" s="77" t="n"/>
      <c r="P146" s="77" t="inlineStr">
        <is>
          <t>未磷酸化</t>
        </is>
      </c>
      <c r="Q146" s="77" t="inlineStr">
        <is>
          <t>未环化</t>
        </is>
      </c>
    </row>
    <row r="147" ht="30" customHeight="1" s="80">
      <c r="A147" s="159" t="n"/>
      <c r="B147" s="155" t="inlineStr">
        <is>
          <t>HGC-Lib-26084458</t>
        </is>
      </c>
      <c r="C147" s="155" t="n">
        <v>72.31</v>
      </c>
      <c r="D147" s="156" t="n">
        <v>6</v>
      </c>
      <c r="E147" s="157" t="n">
        <v>0.543</v>
      </c>
      <c r="F147" s="157">
        <f>ROUND(E147/C147*G219,3)</f>
        <v/>
      </c>
      <c r="G147" s="155" t="inlineStr">
        <is>
          <t>mRNA</t>
        </is>
      </c>
      <c r="H147" s="155" t="inlineStr">
        <is>
          <t>江西烈冰生物科技有限公司</t>
        </is>
      </c>
      <c r="I147" s="157" t="n"/>
      <c r="J147" s="155" t="n"/>
      <c r="K147" s="155" t="n"/>
      <c r="L147" s="77" t="inlineStr">
        <is>
          <t>加急</t>
        </is>
      </c>
      <c r="M147" s="77" t="n"/>
      <c r="N147" s="77" t="n">
        <v>72.31</v>
      </c>
      <c r="O147" s="77" t="n"/>
      <c r="P147" s="77" t="inlineStr">
        <is>
          <t>未磷酸化</t>
        </is>
      </c>
      <c r="Q147" s="77" t="inlineStr">
        <is>
          <t>未环化</t>
        </is>
      </c>
    </row>
    <row r="148" ht="30" customHeight="1" s="80">
      <c r="A148" s="159" t="n"/>
      <c r="B148" s="155" t="inlineStr">
        <is>
          <t>HGC-Lib-26084459</t>
        </is>
      </c>
      <c r="C148" s="155" t="n">
        <v>74.84</v>
      </c>
      <c r="D148" s="156" t="n">
        <v>6</v>
      </c>
      <c r="E148" s="157" t="n">
        <v>0.543</v>
      </c>
      <c r="F148" s="157">
        <f>ROUND(E148/C148*G219,3)</f>
        <v/>
      </c>
      <c r="G148" s="155" t="inlineStr">
        <is>
          <t>mRNA</t>
        </is>
      </c>
      <c r="H148" s="155" t="inlineStr">
        <is>
          <t>江西烈冰生物科技有限公司</t>
        </is>
      </c>
      <c r="I148" s="157" t="n"/>
      <c r="J148" s="155" t="n"/>
      <c r="K148" s="155" t="n"/>
      <c r="L148" s="77" t="inlineStr">
        <is>
          <t>加急</t>
        </is>
      </c>
      <c r="M148" s="77" t="n"/>
      <c r="N148" s="77" t="n">
        <v>74.84</v>
      </c>
      <c r="O148" s="77" t="n"/>
      <c r="P148" s="77" t="inlineStr">
        <is>
          <t>未磷酸化</t>
        </is>
      </c>
      <c r="Q148" s="77" t="inlineStr">
        <is>
          <t>未环化</t>
        </is>
      </c>
    </row>
    <row r="149" ht="30" customHeight="1" s="80">
      <c r="A149" s="159" t="n"/>
      <c r="B149" s="155" t="inlineStr">
        <is>
          <t>HGC-Lib-26084460</t>
        </is>
      </c>
      <c r="C149" s="155" t="n">
        <v>75.59</v>
      </c>
      <c r="D149" s="156" t="n">
        <v>6</v>
      </c>
      <c r="E149" s="157" t="n">
        <v>0.543</v>
      </c>
      <c r="F149" s="157">
        <f>ROUND(E149/C149*G219,3)</f>
        <v/>
      </c>
      <c r="G149" s="155" t="inlineStr">
        <is>
          <t>mRNA</t>
        </is>
      </c>
      <c r="H149" s="155" t="inlineStr">
        <is>
          <t>江西烈冰生物科技有限公司</t>
        </is>
      </c>
      <c r="I149" s="157" t="n"/>
      <c r="J149" s="155" t="n"/>
      <c r="K149" s="155" t="n"/>
      <c r="L149" s="77" t="inlineStr">
        <is>
          <t>加急</t>
        </is>
      </c>
      <c r="M149" s="77" t="n"/>
      <c r="N149" s="77" t="n">
        <v>75.59</v>
      </c>
      <c r="O149" s="77" t="n"/>
      <c r="P149" s="77" t="inlineStr">
        <is>
          <t>未磷酸化</t>
        </is>
      </c>
      <c r="Q149" s="77" t="inlineStr">
        <is>
          <t>未环化</t>
        </is>
      </c>
    </row>
    <row r="150" ht="30" customHeight="1" s="80">
      <c r="A150" s="159" t="n"/>
      <c r="B150" s="155" t="inlineStr">
        <is>
          <t>HGC-Lib-26084461</t>
        </is>
      </c>
      <c r="C150" s="155" t="n">
        <v>63.82</v>
      </c>
      <c r="D150" s="156" t="n">
        <v>6</v>
      </c>
      <c r="E150" s="157" t="n">
        <v>0.543</v>
      </c>
      <c r="F150" s="157">
        <f>ROUND(E150/C150*G219,3)</f>
        <v/>
      </c>
      <c r="G150" s="155" t="inlineStr">
        <is>
          <t>mRNA</t>
        </is>
      </c>
      <c r="H150" s="155" t="inlineStr">
        <is>
          <t>江西烈冰生物科技有限公司</t>
        </is>
      </c>
      <c r="I150" s="157" t="n"/>
      <c r="J150" s="155" t="n"/>
      <c r="K150" s="155" t="n"/>
      <c r="L150" s="77" t="inlineStr">
        <is>
          <t>加急</t>
        </is>
      </c>
      <c r="M150" s="77" t="n"/>
      <c r="N150" s="77" t="n">
        <v>63.82</v>
      </c>
      <c r="O150" s="77" t="n"/>
      <c r="P150" s="77" t="inlineStr">
        <is>
          <t>未磷酸化</t>
        </is>
      </c>
      <c r="Q150" s="77" t="inlineStr">
        <is>
          <t>未环化</t>
        </is>
      </c>
    </row>
    <row r="151" ht="30" customHeight="1" s="80">
      <c r="A151" s="159" t="n"/>
      <c r="B151" s="155" t="inlineStr">
        <is>
          <t>HGC-Lib-26084462</t>
        </is>
      </c>
      <c r="C151" s="155" t="n">
        <v>73.51000000000001</v>
      </c>
      <c r="D151" s="156" t="n">
        <v>6</v>
      </c>
      <c r="E151" s="157" t="n">
        <v>0.543</v>
      </c>
      <c r="F151" s="157">
        <f>ROUND(E151/C151*G219,3)</f>
        <v/>
      </c>
      <c r="G151" s="155" t="inlineStr">
        <is>
          <t>mRNA</t>
        </is>
      </c>
      <c r="H151" s="155" t="inlineStr">
        <is>
          <t>江西烈冰生物科技有限公司</t>
        </is>
      </c>
      <c r="I151" s="157" t="n"/>
      <c r="J151" s="155" t="n"/>
      <c r="K151" s="155" t="n"/>
      <c r="L151" s="77" t="inlineStr">
        <is>
          <t>加急</t>
        </is>
      </c>
      <c r="M151" s="77" t="n"/>
      <c r="N151" s="77" t="n">
        <v>73.51000000000001</v>
      </c>
      <c r="O151" s="77" t="n"/>
      <c r="P151" s="77" t="inlineStr">
        <is>
          <t>未磷酸化</t>
        </is>
      </c>
      <c r="Q151" s="77" t="inlineStr">
        <is>
          <t>未环化</t>
        </is>
      </c>
    </row>
    <row r="152" ht="30" customHeight="1" s="80">
      <c r="A152" s="159" t="n"/>
      <c r="B152" s="155" t="inlineStr">
        <is>
          <t>HGC-Lib-26084463</t>
        </is>
      </c>
      <c r="C152" s="155" t="n">
        <v>73.98</v>
      </c>
      <c r="D152" s="156" t="n">
        <v>6</v>
      </c>
      <c r="E152" s="157" t="n">
        <v>0.543</v>
      </c>
      <c r="F152" s="157">
        <f>ROUND(E152/C152*G219,3)</f>
        <v/>
      </c>
      <c r="G152" s="155" t="inlineStr">
        <is>
          <t>mRNA</t>
        </is>
      </c>
      <c r="H152" s="155" t="inlineStr">
        <is>
          <t>江西烈冰生物科技有限公司</t>
        </is>
      </c>
      <c r="I152" s="157" t="n"/>
      <c r="J152" s="155" t="n"/>
      <c r="K152" s="155" t="n"/>
      <c r="L152" s="77" t="inlineStr">
        <is>
          <t>加急</t>
        </is>
      </c>
      <c r="M152" s="77" t="n"/>
      <c r="N152" s="77" t="n">
        <v>73.98</v>
      </c>
      <c r="O152" s="77" t="n"/>
      <c r="P152" s="77" t="inlineStr">
        <is>
          <t>未磷酸化</t>
        </is>
      </c>
      <c r="Q152" s="77" t="inlineStr">
        <is>
          <t>未环化</t>
        </is>
      </c>
    </row>
    <row r="153" ht="30" customHeight="1" s="80">
      <c r="A153" s="159" t="n"/>
      <c r="B153" s="155" t="inlineStr">
        <is>
          <t>HGC-Lib-26084464</t>
        </is>
      </c>
      <c r="C153" s="155" t="n">
        <v>69.81</v>
      </c>
      <c r="D153" s="156" t="n">
        <v>6</v>
      </c>
      <c r="E153" s="157" t="n">
        <v>0.543</v>
      </c>
      <c r="F153" s="157">
        <f>ROUND(E153/C153*G219,3)</f>
        <v/>
      </c>
      <c r="G153" s="155" t="inlineStr">
        <is>
          <t>mRNA</t>
        </is>
      </c>
      <c r="H153" s="155" t="inlineStr">
        <is>
          <t>江西烈冰生物科技有限公司</t>
        </is>
      </c>
      <c r="I153" s="157" t="n"/>
      <c r="J153" s="155" t="n"/>
      <c r="K153" s="155" t="n"/>
      <c r="L153" s="77" t="inlineStr">
        <is>
          <t>加急</t>
        </is>
      </c>
      <c r="M153" s="77" t="n"/>
      <c r="N153" s="77" t="n">
        <v>69.81</v>
      </c>
      <c r="O153" s="77" t="n"/>
      <c r="P153" s="77" t="inlineStr">
        <is>
          <t>未磷酸化</t>
        </is>
      </c>
      <c r="Q153" s="77" t="inlineStr">
        <is>
          <t>未环化</t>
        </is>
      </c>
    </row>
    <row r="154" ht="30" customHeight="1" s="80">
      <c r="A154" s="159" t="n"/>
      <c r="B154" s="155" t="inlineStr">
        <is>
          <t>HGC-Lib-26084465</t>
        </is>
      </c>
      <c r="C154" s="155" t="n">
        <v>65.95</v>
      </c>
      <c r="D154" s="156" t="n">
        <v>6</v>
      </c>
      <c r="E154" s="157" t="n">
        <v>0.543</v>
      </c>
      <c r="F154" s="157">
        <f>ROUND(E154/C154*G219,3)</f>
        <v/>
      </c>
      <c r="G154" s="155" t="inlineStr">
        <is>
          <t>mRNA</t>
        </is>
      </c>
      <c r="H154" s="155" t="inlineStr">
        <is>
          <t>江西烈冰生物科技有限公司</t>
        </is>
      </c>
      <c r="I154" s="157" t="n"/>
      <c r="J154" s="155" t="n"/>
      <c r="K154" s="155" t="n"/>
      <c r="L154" s="77" t="inlineStr">
        <is>
          <t>加急</t>
        </is>
      </c>
      <c r="M154" s="77" t="n"/>
      <c r="N154" s="77" t="n">
        <v>65.95</v>
      </c>
      <c r="O154" s="77" t="n"/>
      <c r="P154" s="77" t="inlineStr">
        <is>
          <t>未磷酸化</t>
        </is>
      </c>
      <c r="Q154" s="77" t="inlineStr">
        <is>
          <t>未环化</t>
        </is>
      </c>
    </row>
    <row r="155" ht="30" customHeight="1" s="80">
      <c r="A155" s="159" t="n"/>
      <c r="B155" s="155" t="inlineStr">
        <is>
          <t>HGC-Lib-26084466</t>
        </is>
      </c>
      <c r="C155" s="155" t="n">
        <v>70.31999999999999</v>
      </c>
      <c r="D155" s="156" t="n">
        <v>6</v>
      </c>
      <c r="E155" s="157" t="n">
        <v>0.543</v>
      </c>
      <c r="F155" s="157">
        <f>ROUND(E155/C155*G219,3)</f>
        <v/>
      </c>
      <c r="G155" s="155" t="inlineStr">
        <is>
          <t>mRNA</t>
        </is>
      </c>
      <c r="H155" s="155" t="inlineStr">
        <is>
          <t>江西烈冰生物科技有限公司</t>
        </is>
      </c>
      <c r="I155" s="157" t="n"/>
      <c r="J155" s="155" t="n"/>
      <c r="K155" s="155" t="n"/>
      <c r="L155" s="77" t="inlineStr">
        <is>
          <t>加急</t>
        </is>
      </c>
      <c r="M155" s="77" t="n"/>
      <c r="N155" s="77" t="n">
        <v>70.31999999999999</v>
      </c>
      <c r="O155" s="77" t="n"/>
      <c r="P155" s="77" t="inlineStr">
        <is>
          <t>未磷酸化</t>
        </is>
      </c>
      <c r="Q155" s="77" t="inlineStr">
        <is>
          <t>未环化</t>
        </is>
      </c>
    </row>
    <row r="156" ht="30" customHeight="1" s="80">
      <c r="A156" s="159" t="n"/>
      <c r="B156" s="155" t="inlineStr">
        <is>
          <t>HGC-Lib-26084467</t>
        </is>
      </c>
      <c r="C156" s="155" t="n">
        <v>69.90000000000001</v>
      </c>
      <c r="D156" s="156" t="n">
        <v>6</v>
      </c>
      <c r="E156" s="157" t="n">
        <v>0.543</v>
      </c>
      <c r="F156" s="157">
        <f>ROUND(E156/C156*G219,3)</f>
        <v/>
      </c>
      <c r="G156" s="155" t="inlineStr">
        <is>
          <t>mRNA</t>
        </is>
      </c>
      <c r="H156" s="155" t="inlineStr">
        <is>
          <t>江西烈冰生物科技有限公司</t>
        </is>
      </c>
      <c r="I156" s="157" t="n"/>
      <c r="J156" s="155" t="n"/>
      <c r="K156" s="155" t="n"/>
      <c r="L156" s="77" t="inlineStr">
        <is>
          <t>加急</t>
        </is>
      </c>
      <c r="M156" s="77" t="n"/>
      <c r="N156" s="77" t="n">
        <v>69.90000000000001</v>
      </c>
      <c r="O156" s="77" t="n"/>
      <c r="P156" s="77" t="inlineStr">
        <is>
          <t>未磷酸化</t>
        </is>
      </c>
      <c r="Q156" s="77" t="inlineStr">
        <is>
          <t>未环化</t>
        </is>
      </c>
    </row>
    <row r="157" ht="30" customHeight="1" s="80">
      <c r="A157" s="159" t="n"/>
      <c r="B157" s="155" t="inlineStr">
        <is>
          <t>HGC-Lib-26084468</t>
        </is>
      </c>
      <c r="C157" s="155" t="n">
        <v>72.13</v>
      </c>
      <c r="D157" s="156" t="n">
        <v>6</v>
      </c>
      <c r="E157" s="157" t="n">
        <v>0.543</v>
      </c>
      <c r="F157" s="157">
        <f>ROUND(E157/C157*G219,3)</f>
        <v/>
      </c>
      <c r="G157" s="155" t="inlineStr">
        <is>
          <t>mRNA</t>
        </is>
      </c>
      <c r="H157" s="155" t="inlineStr">
        <is>
          <t>江西烈冰生物科技有限公司</t>
        </is>
      </c>
      <c r="I157" s="157" t="n"/>
      <c r="J157" s="155" t="n"/>
      <c r="K157" s="155" t="n"/>
      <c r="L157" s="77" t="inlineStr">
        <is>
          <t>加急</t>
        </is>
      </c>
      <c r="M157" s="77" t="n"/>
      <c r="N157" s="77" t="n">
        <v>72.13</v>
      </c>
      <c r="O157" s="77" t="n"/>
      <c r="P157" s="77" t="inlineStr">
        <is>
          <t>未磷酸化</t>
        </is>
      </c>
      <c r="Q157" s="77" t="inlineStr">
        <is>
          <t>未环化</t>
        </is>
      </c>
    </row>
    <row r="158" ht="30" customHeight="1" s="80">
      <c r="A158" s="159" t="n"/>
      <c r="B158" s="155" t="inlineStr">
        <is>
          <t>HGC-Lib-26084469</t>
        </is>
      </c>
      <c r="C158" s="155" t="n">
        <v>68.72</v>
      </c>
      <c r="D158" s="156" t="n">
        <v>6</v>
      </c>
      <c r="E158" s="157" t="n">
        <v>0.543</v>
      </c>
      <c r="F158" s="157">
        <f>ROUND(E158/C158*G219,3)</f>
        <v/>
      </c>
      <c r="G158" s="155" t="inlineStr">
        <is>
          <t>mRNA</t>
        </is>
      </c>
      <c r="H158" s="155" t="inlineStr">
        <is>
          <t>江西烈冰生物科技有限公司</t>
        </is>
      </c>
      <c r="I158" s="157" t="n"/>
      <c r="J158" s="155" t="n"/>
      <c r="K158" s="155" t="n"/>
      <c r="L158" s="77" t="inlineStr">
        <is>
          <t>加急</t>
        </is>
      </c>
      <c r="M158" s="77" t="n"/>
      <c r="N158" s="77" t="n">
        <v>68.72</v>
      </c>
      <c r="O158" s="77" t="n"/>
      <c r="P158" s="77" t="inlineStr">
        <is>
          <t>未磷酸化</t>
        </is>
      </c>
      <c r="Q158" s="77" t="inlineStr">
        <is>
          <t>未环化</t>
        </is>
      </c>
    </row>
    <row r="159" ht="30" customHeight="1" s="80">
      <c r="A159" s="159" t="n"/>
      <c r="B159" s="155" t="inlineStr">
        <is>
          <t>HGC-Lib-26084470</t>
        </is>
      </c>
      <c r="C159" s="155" t="n">
        <v>66.91</v>
      </c>
      <c r="D159" s="156" t="n">
        <v>6</v>
      </c>
      <c r="E159" s="157" t="n">
        <v>0.543</v>
      </c>
      <c r="F159" s="157">
        <f>ROUND(E159/C159*G219,3)</f>
        <v/>
      </c>
      <c r="G159" s="155" t="inlineStr">
        <is>
          <t>mRNA</t>
        </is>
      </c>
      <c r="H159" s="155" t="inlineStr">
        <is>
          <t>江西烈冰生物科技有限公司</t>
        </is>
      </c>
      <c r="I159" s="157" t="n"/>
      <c r="J159" s="155" t="n"/>
      <c r="K159" s="155" t="n"/>
      <c r="L159" s="77" t="inlineStr">
        <is>
          <t>加急</t>
        </is>
      </c>
      <c r="M159" s="77" t="n"/>
      <c r="N159" s="77" t="n">
        <v>66.91</v>
      </c>
      <c r="O159" s="77" t="n"/>
      <c r="P159" s="77" t="inlineStr">
        <is>
          <t>未磷酸化</t>
        </is>
      </c>
      <c r="Q159" s="77" t="inlineStr">
        <is>
          <t>未环化</t>
        </is>
      </c>
    </row>
    <row r="160" ht="30" customHeight="1" s="80">
      <c r="A160" s="159" t="n"/>
      <c r="B160" s="155" t="inlineStr">
        <is>
          <t>HGC-Lib-26084471</t>
        </is>
      </c>
      <c r="C160" s="155" t="n">
        <v>73.48999999999999</v>
      </c>
      <c r="D160" s="156" t="n">
        <v>6</v>
      </c>
      <c r="E160" s="157" t="n">
        <v>0.543</v>
      </c>
      <c r="F160" s="157">
        <f>ROUND(E160/C160*G219,3)</f>
        <v/>
      </c>
      <c r="G160" s="155" t="inlineStr">
        <is>
          <t>mRNA</t>
        </is>
      </c>
      <c r="H160" s="155" t="inlineStr">
        <is>
          <t>江西烈冰生物科技有限公司</t>
        </is>
      </c>
      <c r="I160" s="157" t="n"/>
      <c r="J160" s="155" t="n"/>
      <c r="K160" s="155" t="n"/>
      <c r="L160" s="77" t="inlineStr">
        <is>
          <t>加急</t>
        </is>
      </c>
      <c r="M160" s="77" t="n"/>
      <c r="N160" s="77" t="n">
        <v>73.48999999999999</v>
      </c>
      <c r="O160" s="77" t="n"/>
      <c r="P160" s="77" t="inlineStr">
        <is>
          <t>未磷酸化</t>
        </is>
      </c>
      <c r="Q160" s="77" t="inlineStr">
        <is>
          <t>未环化</t>
        </is>
      </c>
    </row>
    <row r="161" ht="30" customHeight="1" s="80">
      <c r="A161" s="159" t="n"/>
      <c r="B161" s="155" t="inlineStr">
        <is>
          <t>HGC-Lib-26084472</t>
        </is>
      </c>
      <c r="C161" s="155" t="n">
        <v>73.59</v>
      </c>
      <c r="D161" s="156" t="n">
        <v>6</v>
      </c>
      <c r="E161" s="157" t="n">
        <v>0.543</v>
      </c>
      <c r="F161" s="157">
        <f>ROUND(E161/C161*G219,3)</f>
        <v/>
      </c>
      <c r="G161" s="155" t="inlineStr">
        <is>
          <t>mRNA</t>
        </is>
      </c>
      <c r="H161" s="155" t="inlineStr">
        <is>
          <t>江西烈冰生物科技有限公司</t>
        </is>
      </c>
      <c r="I161" s="157" t="n"/>
      <c r="J161" s="155" t="n"/>
      <c r="K161" s="155" t="n"/>
      <c r="L161" s="77" t="inlineStr">
        <is>
          <t>加急</t>
        </is>
      </c>
      <c r="M161" s="77" t="n"/>
      <c r="N161" s="77" t="n">
        <v>73.59</v>
      </c>
      <c r="O161" s="77" t="n"/>
      <c r="P161" s="77" t="inlineStr">
        <is>
          <t>未磷酸化</t>
        </is>
      </c>
      <c r="Q161" s="77" t="inlineStr">
        <is>
          <t>未环化</t>
        </is>
      </c>
    </row>
    <row r="162" ht="30" customHeight="1" s="80">
      <c r="A162" s="159" t="n"/>
      <c r="B162" s="155" t="inlineStr">
        <is>
          <t>HGC-Lib-26084473</t>
        </is>
      </c>
      <c r="C162" s="155" t="n">
        <v>70.08</v>
      </c>
      <c r="D162" s="156" t="n">
        <v>6</v>
      </c>
      <c r="E162" s="157" t="n">
        <v>0.543</v>
      </c>
      <c r="F162" s="157">
        <f>ROUND(E162/C162*G219,3)</f>
        <v/>
      </c>
      <c r="G162" s="155" t="inlineStr">
        <is>
          <t>mRNA</t>
        </is>
      </c>
      <c r="H162" s="155" t="inlineStr">
        <is>
          <t>江西烈冰生物科技有限公司</t>
        </is>
      </c>
      <c r="I162" s="157" t="n"/>
      <c r="J162" s="155" t="n"/>
      <c r="K162" s="155" t="n"/>
      <c r="L162" s="77" t="inlineStr">
        <is>
          <t>加急</t>
        </is>
      </c>
      <c r="M162" s="77" t="n"/>
      <c r="N162" s="77" t="n">
        <v>70.08</v>
      </c>
      <c r="O162" s="77" t="n"/>
      <c r="P162" s="77" t="inlineStr">
        <is>
          <t>未磷酸化</t>
        </is>
      </c>
      <c r="Q162" s="77" t="inlineStr">
        <is>
          <t>未环化</t>
        </is>
      </c>
    </row>
    <row r="163" ht="30" customHeight="1" s="80">
      <c r="A163" s="159" t="n"/>
      <c r="B163" s="155" t="inlineStr">
        <is>
          <t>HGC-Lib-26084474</t>
        </is>
      </c>
      <c r="C163" s="155" t="n">
        <v>73.53</v>
      </c>
      <c r="D163" s="156" t="n">
        <v>6</v>
      </c>
      <c r="E163" s="157" t="n">
        <v>0.543</v>
      </c>
      <c r="F163" s="157">
        <f>ROUND(E163/C163*G219,3)</f>
        <v/>
      </c>
      <c r="G163" s="155" t="inlineStr">
        <is>
          <t>mRNA</t>
        </is>
      </c>
      <c r="H163" s="155" t="inlineStr">
        <is>
          <t>江西烈冰生物科技有限公司</t>
        </is>
      </c>
      <c r="I163" s="157" t="n"/>
      <c r="J163" s="155" t="n"/>
      <c r="K163" s="155" t="n"/>
      <c r="L163" s="77" t="inlineStr">
        <is>
          <t>加急</t>
        </is>
      </c>
      <c r="M163" s="77" t="n"/>
      <c r="N163" s="77" t="n">
        <v>73.53</v>
      </c>
      <c r="O163" s="77" t="n"/>
      <c r="P163" s="77" t="inlineStr">
        <is>
          <t>未磷酸化</t>
        </is>
      </c>
      <c r="Q163" s="77" t="inlineStr">
        <is>
          <t>未环化</t>
        </is>
      </c>
    </row>
    <row r="164" ht="30" customHeight="1" s="80">
      <c r="A164" s="159" t="n"/>
      <c r="B164" s="155" t="inlineStr">
        <is>
          <t>HGC-Lib-26084475</t>
        </is>
      </c>
      <c r="C164" s="155" t="n">
        <v>73.64</v>
      </c>
      <c r="D164" s="156" t="n">
        <v>6</v>
      </c>
      <c r="E164" s="157" t="n">
        <v>0.543</v>
      </c>
      <c r="F164" s="157">
        <f>ROUND(E164/C164*G219,3)</f>
        <v/>
      </c>
      <c r="G164" s="155" t="inlineStr">
        <is>
          <t>mRNA</t>
        </is>
      </c>
      <c r="H164" s="155" t="inlineStr">
        <is>
          <t>江西烈冰生物科技有限公司</t>
        </is>
      </c>
      <c r="I164" s="157" t="n"/>
      <c r="J164" s="155" t="n"/>
      <c r="K164" s="155" t="n"/>
      <c r="L164" s="77" t="inlineStr">
        <is>
          <t>加急</t>
        </is>
      </c>
      <c r="M164" s="77" t="n"/>
      <c r="N164" s="77" t="n">
        <v>73.64</v>
      </c>
      <c r="O164" s="77" t="n"/>
      <c r="P164" s="77" t="inlineStr">
        <is>
          <t>未磷酸化</t>
        </is>
      </c>
      <c r="Q164" s="77" t="inlineStr">
        <is>
          <t>未环化</t>
        </is>
      </c>
    </row>
    <row r="165" ht="30" customHeight="1" s="80">
      <c r="A165" s="159" t="n"/>
      <c r="B165" s="155" t="inlineStr">
        <is>
          <t>HGC-Lib-26084476</t>
        </is>
      </c>
      <c r="C165" s="155" t="n">
        <v>76.97</v>
      </c>
      <c r="D165" s="156" t="n">
        <v>6</v>
      </c>
      <c r="E165" s="157" t="n">
        <v>0.543</v>
      </c>
      <c r="F165" s="157">
        <f>ROUND(E165/C165*G219,3)</f>
        <v/>
      </c>
      <c r="G165" s="155" t="inlineStr">
        <is>
          <t>mRNA</t>
        </is>
      </c>
      <c r="H165" s="155" t="inlineStr">
        <is>
          <t>江西烈冰生物科技有限公司</t>
        </is>
      </c>
      <c r="I165" s="157" t="n"/>
      <c r="J165" s="155" t="n"/>
      <c r="K165" s="155" t="n"/>
      <c r="L165" s="77" t="inlineStr">
        <is>
          <t>加急</t>
        </is>
      </c>
      <c r="M165" s="77" t="n"/>
      <c r="N165" s="77" t="n">
        <v>76.97</v>
      </c>
      <c r="O165" s="77" t="n"/>
      <c r="P165" s="77" t="inlineStr">
        <is>
          <t>未磷酸化</t>
        </is>
      </c>
      <c r="Q165" s="77" t="inlineStr">
        <is>
          <t>未环化</t>
        </is>
      </c>
    </row>
    <row r="166" ht="30" customHeight="1" s="80">
      <c r="A166" s="159" t="n"/>
      <c r="B166" s="155" t="inlineStr">
        <is>
          <t>HGC-Lib-26084477</t>
        </is>
      </c>
      <c r="C166" s="155" t="n">
        <v>70.63</v>
      </c>
      <c r="D166" s="156" t="n">
        <v>6</v>
      </c>
      <c r="E166" s="157" t="n">
        <v>0.543</v>
      </c>
      <c r="F166" s="157">
        <f>ROUND(E166/C166*G219,3)</f>
        <v/>
      </c>
      <c r="G166" s="155" t="inlineStr">
        <is>
          <t>mRNA</t>
        </is>
      </c>
      <c r="H166" s="155" t="inlineStr">
        <is>
          <t>江西烈冰生物科技有限公司</t>
        </is>
      </c>
      <c r="I166" s="157" t="n"/>
      <c r="J166" s="155" t="n"/>
      <c r="K166" s="155" t="n"/>
      <c r="L166" s="77" t="inlineStr">
        <is>
          <t>加急</t>
        </is>
      </c>
      <c r="M166" s="77" t="n"/>
      <c r="N166" s="77" t="n">
        <v>70.63</v>
      </c>
      <c r="O166" s="77" t="n"/>
      <c r="P166" s="77" t="inlineStr">
        <is>
          <t>未磷酸化</t>
        </is>
      </c>
      <c r="Q166" s="77" t="inlineStr">
        <is>
          <t>未环化</t>
        </is>
      </c>
    </row>
    <row r="167" ht="30" customHeight="1" s="80">
      <c r="A167" s="159" t="n"/>
      <c r="B167" s="155" t="inlineStr">
        <is>
          <t>HGC-Lib-26084478</t>
        </is>
      </c>
      <c r="C167" s="155" t="n">
        <v>78.95999999999999</v>
      </c>
      <c r="D167" s="156" t="n">
        <v>6</v>
      </c>
      <c r="E167" s="157" t="n">
        <v>0.543</v>
      </c>
      <c r="F167" s="157">
        <f>ROUND(E167/C167*G219,3)</f>
        <v/>
      </c>
      <c r="G167" s="155" t="inlineStr">
        <is>
          <t>mRNA</t>
        </is>
      </c>
      <c r="H167" s="155" t="inlineStr">
        <is>
          <t>江西烈冰生物科技有限公司</t>
        </is>
      </c>
      <c r="I167" s="157" t="n"/>
      <c r="J167" s="155" t="n"/>
      <c r="K167" s="155" t="n"/>
      <c r="L167" s="77" t="inlineStr">
        <is>
          <t>加急</t>
        </is>
      </c>
      <c r="M167" s="77" t="n"/>
      <c r="N167" s="77" t="n">
        <v>78.95999999999999</v>
      </c>
      <c r="O167" s="77" t="n"/>
      <c r="P167" s="77" t="inlineStr">
        <is>
          <t>未磷酸化</t>
        </is>
      </c>
      <c r="Q167" s="77" t="inlineStr">
        <is>
          <t>未环化</t>
        </is>
      </c>
    </row>
    <row r="168" ht="30" customHeight="1" s="80">
      <c r="A168" s="159" t="n"/>
      <c r="B168" s="155" t="inlineStr">
        <is>
          <t>HGC-Lib-26084479</t>
        </is>
      </c>
      <c r="C168" s="155" t="n">
        <v>83.36</v>
      </c>
      <c r="D168" s="156" t="n">
        <v>6</v>
      </c>
      <c r="E168" s="157" t="n">
        <v>0.543</v>
      </c>
      <c r="F168" s="157">
        <f>ROUND(E168/C168*G219,3)</f>
        <v/>
      </c>
      <c r="G168" s="155" t="inlineStr">
        <is>
          <t>mRNA</t>
        </is>
      </c>
      <c r="H168" s="155" t="inlineStr">
        <is>
          <t>江西烈冰生物科技有限公司</t>
        </is>
      </c>
      <c r="I168" s="157" t="n"/>
      <c r="J168" s="155" t="n"/>
      <c r="K168" s="155" t="n"/>
      <c r="L168" s="77" t="inlineStr">
        <is>
          <t>加急</t>
        </is>
      </c>
      <c r="M168" s="77" t="n"/>
      <c r="N168" s="77" t="n">
        <v>83.36</v>
      </c>
      <c r="O168" s="77" t="n"/>
      <c r="P168" s="77" t="inlineStr">
        <is>
          <t>未磷酸化</t>
        </is>
      </c>
      <c r="Q168" s="77" t="inlineStr">
        <is>
          <t>未环化</t>
        </is>
      </c>
    </row>
    <row r="169" ht="30" customHeight="1" s="80">
      <c r="A169" s="159" t="n"/>
      <c r="B169" s="155" t="inlineStr">
        <is>
          <t>HGC-Lib-26084480</t>
        </is>
      </c>
      <c r="C169" s="155" t="n">
        <v>48.4</v>
      </c>
      <c r="D169" s="156" t="n">
        <v>6</v>
      </c>
      <c r="E169" s="157" t="n">
        <v>0.543</v>
      </c>
      <c r="F169" s="157">
        <f>ROUND(E169/C169*G219,3)</f>
        <v/>
      </c>
      <c r="G169" s="155" t="inlineStr">
        <is>
          <t>mRNA</t>
        </is>
      </c>
      <c r="H169" s="155" t="inlineStr">
        <is>
          <t>江西烈冰生物科技有限公司</t>
        </is>
      </c>
      <c r="I169" s="157" t="n"/>
      <c r="J169" s="155" t="n"/>
      <c r="K169" s="155" t="n"/>
      <c r="L169" s="77" t="inlineStr">
        <is>
          <t>加急</t>
        </is>
      </c>
      <c r="M169" s="77" t="n"/>
      <c r="N169" s="77" t="n">
        <v>48.4</v>
      </c>
      <c r="O169" s="77" t="n"/>
      <c r="P169" s="77" t="inlineStr">
        <is>
          <t>未磷酸化</t>
        </is>
      </c>
      <c r="Q169" s="77" t="inlineStr">
        <is>
          <t>未环化</t>
        </is>
      </c>
    </row>
    <row r="170" ht="30" customHeight="1" s="80">
      <c r="A170" s="159" t="n"/>
      <c r="B170" s="155" t="inlineStr">
        <is>
          <t>HGC-Lib-26084481</t>
        </is>
      </c>
      <c r="C170" s="155" t="n">
        <v>88.36</v>
      </c>
      <c r="D170" s="156" t="n">
        <v>6</v>
      </c>
      <c r="E170" s="157" t="n">
        <v>0.543</v>
      </c>
      <c r="F170" s="157">
        <f>ROUND(E170/C170*G219,3)</f>
        <v/>
      </c>
      <c r="G170" s="155" t="inlineStr">
        <is>
          <t>mRNA</t>
        </is>
      </c>
      <c r="H170" s="155" t="inlineStr">
        <is>
          <t>江西烈冰生物科技有限公司</t>
        </is>
      </c>
      <c r="I170" s="157" t="n"/>
      <c r="J170" s="155" t="n"/>
      <c r="K170" s="155" t="n"/>
      <c r="L170" s="77" t="inlineStr">
        <is>
          <t>加急</t>
        </is>
      </c>
      <c r="M170" s="77" t="n"/>
      <c r="N170" s="77" t="n">
        <v>88.36</v>
      </c>
      <c r="O170" s="77" t="n"/>
      <c r="P170" s="77" t="inlineStr">
        <is>
          <t>未磷酸化</t>
        </is>
      </c>
      <c r="Q170" s="77" t="inlineStr">
        <is>
          <t>未环化</t>
        </is>
      </c>
    </row>
    <row r="171" ht="30" customHeight="1" s="80">
      <c r="A171" s="159" t="n"/>
      <c r="B171" s="155" t="inlineStr">
        <is>
          <t>HGC-Lib-26084482</t>
        </is>
      </c>
      <c r="C171" s="155" t="n">
        <v>67.48</v>
      </c>
      <c r="D171" s="156" t="n">
        <v>6</v>
      </c>
      <c r="E171" s="157" t="n">
        <v>0.543</v>
      </c>
      <c r="F171" s="157">
        <f>ROUND(E171/C171*G219,3)</f>
        <v/>
      </c>
      <c r="G171" s="155" t="inlineStr">
        <is>
          <t>mRNA</t>
        </is>
      </c>
      <c r="H171" s="155" t="inlineStr">
        <is>
          <t>江西烈冰生物科技有限公司</t>
        </is>
      </c>
      <c r="I171" s="157" t="n"/>
      <c r="J171" s="155" t="n"/>
      <c r="K171" s="155" t="n"/>
      <c r="L171" s="77" t="inlineStr">
        <is>
          <t>加急</t>
        </is>
      </c>
      <c r="M171" s="77" t="n"/>
      <c r="N171" s="77" t="n">
        <v>67.48</v>
      </c>
      <c r="O171" s="77" t="n"/>
      <c r="P171" s="77" t="inlineStr">
        <is>
          <t>未磷酸化</t>
        </is>
      </c>
      <c r="Q171" s="77" t="inlineStr">
        <is>
          <t>未环化</t>
        </is>
      </c>
    </row>
    <row r="172" ht="30" customHeight="1" s="80">
      <c r="A172" s="159" t="n"/>
      <c r="B172" s="155" t="inlineStr">
        <is>
          <t>HGC-Lib-26084483</t>
        </is>
      </c>
      <c r="C172" s="155" t="n">
        <v>78.95</v>
      </c>
      <c r="D172" s="156" t="n">
        <v>6</v>
      </c>
      <c r="E172" s="157" t="n">
        <v>0.543</v>
      </c>
      <c r="F172" s="157">
        <f>ROUND(E172/C172*G219,3)</f>
        <v/>
      </c>
      <c r="G172" s="155" t="inlineStr">
        <is>
          <t>mRNA</t>
        </is>
      </c>
      <c r="H172" s="155" t="inlineStr">
        <is>
          <t>江西烈冰生物科技有限公司</t>
        </is>
      </c>
      <c r="I172" s="157" t="n"/>
      <c r="J172" s="155" t="n"/>
      <c r="K172" s="155" t="n"/>
      <c r="L172" s="77" t="inlineStr">
        <is>
          <t>加急</t>
        </is>
      </c>
      <c r="M172" s="77" t="n"/>
      <c r="N172" s="77" t="n">
        <v>78.95</v>
      </c>
      <c r="O172" s="77" t="n"/>
      <c r="P172" s="77" t="inlineStr">
        <is>
          <t>未磷酸化</t>
        </is>
      </c>
      <c r="Q172" s="77" t="inlineStr">
        <is>
          <t>未环化</t>
        </is>
      </c>
    </row>
    <row r="173" ht="30" customHeight="1" s="80">
      <c r="A173" s="159" t="n"/>
      <c r="B173" s="155" t="inlineStr">
        <is>
          <t>HGC-Lib-26084484</t>
        </is>
      </c>
      <c r="C173" s="155" t="n">
        <v>73.76000000000001</v>
      </c>
      <c r="D173" s="156" t="n">
        <v>6</v>
      </c>
      <c r="E173" s="157" t="n">
        <v>0.543</v>
      </c>
      <c r="F173" s="157">
        <f>ROUND(E173/C173*G219,3)</f>
        <v/>
      </c>
      <c r="G173" s="155" t="inlineStr">
        <is>
          <t>mRNA</t>
        </is>
      </c>
      <c r="H173" s="155" t="inlineStr">
        <is>
          <t>江西烈冰生物科技有限公司</t>
        </is>
      </c>
      <c r="I173" s="157" t="n"/>
      <c r="J173" s="155" t="n"/>
      <c r="K173" s="155" t="n"/>
      <c r="L173" s="77" t="inlineStr">
        <is>
          <t>加急</t>
        </is>
      </c>
      <c r="M173" s="77" t="n"/>
      <c r="N173" s="77" t="n">
        <v>73.76000000000001</v>
      </c>
      <c r="O173" s="77" t="n"/>
      <c r="P173" s="77" t="inlineStr">
        <is>
          <t>未磷酸化</t>
        </is>
      </c>
      <c r="Q173" s="77" t="inlineStr">
        <is>
          <t>未环化</t>
        </is>
      </c>
    </row>
    <row r="174" ht="30" customHeight="1" s="80">
      <c r="A174" s="159" t="n"/>
      <c r="B174" s="155" t="inlineStr">
        <is>
          <t>HGC-Lib-26084485</t>
        </is>
      </c>
      <c r="C174" s="155" t="n">
        <v>72.76000000000001</v>
      </c>
      <c r="D174" s="156" t="n">
        <v>6</v>
      </c>
      <c r="E174" s="157" t="n">
        <v>0.543</v>
      </c>
      <c r="F174" s="157">
        <f>ROUND(E174/C174*G219,3)</f>
        <v/>
      </c>
      <c r="G174" s="155" t="inlineStr">
        <is>
          <t>mRNA</t>
        </is>
      </c>
      <c r="H174" s="155" t="inlineStr">
        <is>
          <t>江西烈冰生物科技有限公司</t>
        </is>
      </c>
      <c r="I174" s="157" t="n"/>
      <c r="J174" s="155" t="n"/>
      <c r="K174" s="155" t="n"/>
      <c r="L174" s="77" t="inlineStr">
        <is>
          <t>加急</t>
        </is>
      </c>
      <c r="M174" s="77" t="n"/>
      <c r="N174" s="77" t="n">
        <v>72.76000000000001</v>
      </c>
      <c r="O174" s="77" t="n"/>
      <c r="P174" s="77" t="inlineStr">
        <is>
          <t>未磷酸化</t>
        </is>
      </c>
      <c r="Q174" s="77" t="inlineStr">
        <is>
          <t>未环化</t>
        </is>
      </c>
    </row>
    <row r="175" ht="30" customHeight="1" s="80">
      <c r="A175" s="159" t="n"/>
      <c r="B175" s="155" t="inlineStr">
        <is>
          <t>HGC-Lib-26084486</t>
        </is>
      </c>
      <c r="C175" s="155" t="n">
        <v>74.31999999999999</v>
      </c>
      <c r="D175" s="156" t="n">
        <v>6</v>
      </c>
      <c r="E175" s="157" t="n">
        <v>0.543</v>
      </c>
      <c r="F175" s="157">
        <f>ROUND(E175/C175*G219,3)</f>
        <v/>
      </c>
      <c r="G175" s="155" t="inlineStr">
        <is>
          <t>mRNA</t>
        </is>
      </c>
      <c r="H175" s="155" t="inlineStr">
        <is>
          <t>江西烈冰生物科技有限公司</t>
        </is>
      </c>
      <c r="I175" s="157" t="n"/>
      <c r="J175" s="155" t="n"/>
      <c r="K175" s="155" t="n"/>
      <c r="L175" s="77" t="inlineStr">
        <is>
          <t>加急</t>
        </is>
      </c>
      <c r="M175" s="77" t="n"/>
      <c r="N175" s="77" t="n">
        <v>74.31999999999999</v>
      </c>
      <c r="O175" s="77" t="n"/>
      <c r="P175" s="77" t="inlineStr">
        <is>
          <t>未磷酸化</t>
        </is>
      </c>
      <c r="Q175" s="77" t="inlineStr">
        <is>
          <t>未环化</t>
        </is>
      </c>
    </row>
    <row r="176" ht="30" customHeight="1" s="80">
      <c r="A176" s="159" t="n"/>
      <c r="B176" s="155" t="inlineStr">
        <is>
          <t>HGC-Lib-26084487</t>
        </is>
      </c>
      <c r="C176" s="155" t="n">
        <v>68.63</v>
      </c>
      <c r="D176" s="156" t="n">
        <v>6</v>
      </c>
      <c r="E176" s="157" t="n">
        <v>0.543</v>
      </c>
      <c r="F176" s="157">
        <f>ROUND(E176/C176*G219,3)</f>
        <v/>
      </c>
      <c r="G176" s="155" t="inlineStr">
        <is>
          <t>mRNA</t>
        </is>
      </c>
      <c r="H176" s="155" t="inlineStr">
        <is>
          <t>江西烈冰生物科技有限公司</t>
        </is>
      </c>
      <c r="I176" s="157" t="n"/>
      <c r="J176" s="155" t="n"/>
      <c r="K176" s="155" t="n"/>
      <c r="L176" s="77" t="inlineStr">
        <is>
          <t>加急</t>
        </is>
      </c>
      <c r="M176" s="77" t="n"/>
      <c r="N176" s="77" t="n">
        <v>68.63</v>
      </c>
      <c r="O176" s="77" t="n"/>
      <c r="P176" s="77" t="inlineStr">
        <is>
          <t>未磷酸化</t>
        </is>
      </c>
      <c r="Q176" s="77" t="inlineStr">
        <is>
          <t>未环化</t>
        </is>
      </c>
    </row>
    <row r="177" ht="30" customHeight="1" s="80">
      <c r="A177" s="159" t="n"/>
      <c r="B177" s="155" t="inlineStr">
        <is>
          <t>HGC-Lib-26084488</t>
        </is>
      </c>
      <c r="C177" s="155" t="n">
        <v>64.2</v>
      </c>
      <c r="D177" s="156" t="n">
        <v>6</v>
      </c>
      <c r="E177" s="157" t="n">
        <v>0.543</v>
      </c>
      <c r="F177" s="157">
        <f>ROUND(E177/C177*G219,3)</f>
        <v/>
      </c>
      <c r="G177" s="155" t="inlineStr">
        <is>
          <t>mRNA</t>
        </is>
      </c>
      <c r="H177" s="155" t="inlineStr">
        <is>
          <t>江西烈冰生物科技有限公司</t>
        </is>
      </c>
      <c r="I177" s="157" t="n"/>
      <c r="J177" s="155" t="n"/>
      <c r="K177" s="155" t="n"/>
      <c r="L177" s="77" t="inlineStr">
        <is>
          <t>加急</t>
        </is>
      </c>
      <c r="M177" s="77" t="n"/>
      <c r="N177" s="77" t="n">
        <v>64.2</v>
      </c>
      <c r="O177" s="77" t="n"/>
      <c r="P177" s="77" t="inlineStr">
        <is>
          <t>未磷酸化</t>
        </is>
      </c>
      <c r="Q177" s="77" t="inlineStr">
        <is>
          <t>未环化</t>
        </is>
      </c>
    </row>
    <row r="178" ht="30" customHeight="1" s="80">
      <c r="A178" s="159" t="n"/>
      <c r="B178" s="155" t="inlineStr">
        <is>
          <t>HGC-Lib-26084489</t>
        </is>
      </c>
      <c r="C178" s="155" t="n">
        <v>68.56</v>
      </c>
      <c r="D178" s="156" t="n">
        <v>6</v>
      </c>
      <c r="E178" s="157" t="n">
        <v>0.543</v>
      </c>
      <c r="F178" s="157">
        <f>ROUND(E178/C178*G219,3)</f>
        <v/>
      </c>
      <c r="G178" s="155" t="inlineStr">
        <is>
          <t>mRNA</t>
        </is>
      </c>
      <c r="H178" s="155" t="inlineStr">
        <is>
          <t>江西烈冰生物科技有限公司</t>
        </is>
      </c>
      <c r="I178" s="157" t="n"/>
      <c r="J178" s="155" t="n"/>
      <c r="K178" s="155" t="n"/>
      <c r="L178" s="77" t="inlineStr">
        <is>
          <t>加急</t>
        </is>
      </c>
      <c r="M178" s="77" t="n"/>
      <c r="N178" s="77" t="n">
        <v>68.56</v>
      </c>
      <c r="O178" s="77" t="n"/>
      <c r="P178" s="77" t="inlineStr">
        <is>
          <t>未磷酸化</t>
        </is>
      </c>
      <c r="Q178" s="77" t="inlineStr">
        <is>
          <t>未环化</t>
        </is>
      </c>
    </row>
    <row r="179" ht="30" customHeight="1" s="80">
      <c r="A179" s="159" t="n"/>
      <c r="B179" s="155" t="inlineStr">
        <is>
          <t>HGC-Lib-26084490</t>
        </is>
      </c>
      <c r="C179" s="155" t="n">
        <v>71.31</v>
      </c>
      <c r="D179" s="156" t="n">
        <v>6</v>
      </c>
      <c r="E179" s="157" t="n">
        <v>0.543</v>
      </c>
      <c r="F179" s="157">
        <f>ROUND(E179/C179*G219,3)</f>
        <v/>
      </c>
      <c r="G179" s="155" t="inlineStr">
        <is>
          <t>mRNA</t>
        </is>
      </c>
      <c r="H179" s="155" t="inlineStr">
        <is>
          <t>江西烈冰生物科技有限公司</t>
        </is>
      </c>
      <c r="I179" s="157" t="n"/>
      <c r="J179" s="155" t="n"/>
      <c r="K179" s="155" t="n"/>
      <c r="L179" s="77" t="inlineStr">
        <is>
          <t>加急</t>
        </is>
      </c>
      <c r="M179" s="77" t="n"/>
      <c r="N179" s="77" t="n">
        <v>71.31</v>
      </c>
      <c r="O179" s="77" t="n"/>
      <c r="P179" s="77" t="inlineStr">
        <is>
          <t>未磷酸化</t>
        </is>
      </c>
      <c r="Q179" s="77" t="inlineStr">
        <is>
          <t>未环化</t>
        </is>
      </c>
    </row>
    <row r="180" ht="30" customHeight="1" s="80">
      <c r="A180" s="159" t="n"/>
      <c r="B180" s="155" t="inlineStr">
        <is>
          <t>HGC-Lib-26084491</t>
        </is>
      </c>
      <c r="C180" s="155" t="n">
        <v>73.31</v>
      </c>
      <c r="D180" s="156" t="n">
        <v>6</v>
      </c>
      <c r="E180" s="157" t="n">
        <v>0.543</v>
      </c>
      <c r="F180" s="157">
        <f>ROUND(E180/C180*G219,3)</f>
        <v/>
      </c>
      <c r="G180" s="155" t="inlineStr">
        <is>
          <t>mRNA</t>
        </is>
      </c>
      <c r="H180" s="155" t="inlineStr">
        <is>
          <t>江西烈冰生物科技有限公司</t>
        </is>
      </c>
      <c r="I180" s="157" t="n"/>
      <c r="J180" s="155" t="n"/>
      <c r="K180" s="155" t="n"/>
      <c r="L180" s="77" t="inlineStr">
        <is>
          <t>加急</t>
        </is>
      </c>
      <c r="M180" s="77" t="n"/>
      <c r="N180" s="77" t="n">
        <v>73.31</v>
      </c>
      <c r="O180" s="77" t="n"/>
      <c r="P180" s="77" t="inlineStr">
        <is>
          <t>未磷酸化</t>
        </is>
      </c>
      <c r="Q180" s="77" t="inlineStr">
        <is>
          <t>未环化</t>
        </is>
      </c>
    </row>
    <row r="181" ht="30" customHeight="1" s="80">
      <c r="A181" s="159" t="n"/>
      <c r="B181" s="155" t="inlineStr">
        <is>
          <t>HGC-Lib-26084492</t>
        </is>
      </c>
      <c r="C181" s="155" t="n">
        <v>74.56999999999999</v>
      </c>
      <c r="D181" s="156" t="n">
        <v>6</v>
      </c>
      <c r="E181" s="157" t="n">
        <v>0.543</v>
      </c>
      <c r="F181" s="157">
        <f>ROUND(E181/C181*G219,3)</f>
        <v/>
      </c>
      <c r="G181" s="155" t="inlineStr">
        <is>
          <t>mRNA</t>
        </is>
      </c>
      <c r="H181" s="155" t="inlineStr">
        <is>
          <t>江西烈冰生物科技有限公司</t>
        </is>
      </c>
      <c r="I181" s="157" t="n"/>
      <c r="J181" s="155" t="n"/>
      <c r="K181" s="155" t="n"/>
      <c r="L181" s="77" t="inlineStr">
        <is>
          <t>加急</t>
        </is>
      </c>
      <c r="M181" s="77" t="n"/>
      <c r="N181" s="77" t="n">
        <v>74.56999999999999</v>
      </c>
      <c r="O181" s="77" t="n"/>
      <c r="P181" s="77" t="inlineStr">
        <is>
          <t>未磷酸化</t>
        </is>
      </c>
      <c r="Q181" s="77" t="inlineStr">
        <is>
          <t>未环化</t>
        </is>
      </c>
    </row>
    <row r="182" ht="30" customHeight="1" s="80">
      <c r="A182" s="159" t="n"/>
      <c r="B182" s="155" t="inlineStr">
        <is>
          <t>HGC-Lib-26084493</t>
        </is>
      </c>
      <c r="C182" s="155" t="n">
        <v>61.92</v>
      </c>
      <c r="D182" s="156" t="n">
        <v>6</v>
      </c>
      <c r="E182" s="157" t="n">
        <v>0.543</v>
      </c>
      <c r="F182" s="157">
        <f>ROUND(E182/C182*G219,3)</f>
        <v/>
      </c>
      <c r="G182" s="155" t="inlineStr">
        <is>
          <t>mRNA</t>
        </is>
      </c>
      <c r="H182" s="155" t="inlineStr">
        <is>
          <t>江西烈冰生物科技有限公司</t>
        </is>
      </c>
      <c r="I182" s="157" t="n"/>
      <c r="J182" s="155" t="n"/>
      <c r="K182" s="155" t="n"/>
      <c r="L182" s="77" t="inlineStr">
        <is>
          <t>加急</t>
        </is>
      </c>
      <c r="M182" s="77" t="n"/>
      <c r="N182" s="77" t="n">
        <v>61.92</v>
      </c>
      <c r="O182" s="77" t="n"/>
      <c r="P182" s="77" t="inlineStr">
        <is>
          <t>未磷酸化</t>
        </is>
      </c>
      <c r="Q182" s="77" t="inlineStr">
        <is>
          <t>未环化</t>
        </is>
      </c>
    </row>
    <row r="183" ht="30" customHeight="1" s="80">
      <c r="A183" s="159" t="n"/>
      <c r="B183" s="155" t="inlineStr">
        <is>
          <t>HGC-Lib-26084494</t>
        </is>
      </c>
      <c r="C183" s="155" t="n">
        <v>77.8</v>
      </c>
      <c r="D183" s="156" t="n">
        <v>6</v>
      </c>
      <c r="E183" s="157" t="n">
        <v>0.543</v>
      </c>
      <c r="F183" s="157">
        <f>ROUND(E183/C183*G219,3)</f>
        <v/>
      </c>
      <c r="G183" s="155" t="inlineStr">
        <is>
          <t>mRNA</t>
        </is>
      </c>
      <c r="H183" s="155" t="inlineStr">
        <is>
          <t>江西烈冰生物科技有限公司</t>
        </is>
      </c>
      <c r="I183" s="157" t="n"/>
      <c r="J183" s="155" t="n"/>
      <c r="K183" s="155" t="n"/>
      <c r="L183" s="77" t="inlineStr">
        <is>
          <t>加急</t>
        </is>
      </c>
      <c r="M183" s="77" t="n"/>
      <c r="N183" s="77" t="n">
        <v>77.8</v>
      </c>
      <c r="O183" s="77" t="n"/>
      <c r="P183" s="77" t="inlineStr">
        <is>
          <t>未磷酸化</t>
        </is>
      </c>
      <c r="Q183" s="77" t="inlineStr">
        <is>
          <t>未环化</t>
        </is>
      </c>
    </row>
    <row r="184" ht="30" customHeight="1" s="80">
      <c r="A184" s="159" t="n"/>
      <c r="B184" s="155" t="inlineStr">
        <is>
          <t>HGC-Lib-26084495</t>
        </is>
      </c>
      <c r="C184" s="155" t="n">
        <v>73.37</v>
      </c>
      <c r="D184" s="156" t="n">
        <v>6</v>
      </c>
      <c r="E184" s="157" t="n">
        <v>0.543</v>
      </c>
      <c r="F184" s="157">
        <f>ROUND(E184/C184*G219,3)</f>
        <v/>
      </c>
      <c r="G184" s="155" t="inlineStr">
        <is>
          <t>mRNA</t>
        </is>
      </c>
      <c r="H184" s="155" t="inlineStr">
        <is>
          <t>江西烈冰生物科技有限公司</t>
        </is>
      </c>
      <c r="I184" s="157" t="n"/>
      <c r="J184" s="155" t="n"/>
      <c r="K184" s="155" t="n"/>
      <c r="L184" s="77" t="inlineStr">
        <is>
          <t>加急</t>
        </is>
      </c>
      <c r="M184" s="77" t="n"/>
      <c r="N184" s="77" t="n">
        <v>73.37</v>
      </c>
      <c r="O184" s="77" t="n"/>
      <c r="P184" s="77" t="inlineStr">
        <is>
          <t>未磷酸化</t>
        </is>
      </c>
      <c r="Q184" s="77" t="inlineStr">
        <is>
          <t>未环化</t>
        </is>
      </c>
    </row>
    <row r="185" ht="30" customHeight="1" s="80">
      <c r="A185" s="159" t="n"/>
      <c r="B185" s="155" t="inlineStr">
        <is>
          <t>HGC-Lib-26084496</t>
        </is>
      </c>
      <c r="C185" s="155" t="n">
        <v>75.86</v>
      </c>
      <c r="D185" s="156" t="n">
        <v>6</v>
      </c>
      <c r="E185" s="157" t="n">
        <v>0.543</v>
      </c>
      <c r="F185" s="157">
        <f>ROUND(E185/C185*G219,3)</f>
        <v/>
      </c>
      <c r="G185" s="155" t="inlineStr">
        <is>
          <t>mRNA</t>
        </is>
      </c>
      <c r="H185" s="155" t="inlineStr">
        <is>
          <t>江西烈冰生物科技有限公司</t>
        </is>
      </c>
      <c r="I185" s="157" t="n"/>
      <c r="J185" s="155" t="n"/>
      <c r="K185" s="155" t="n"/>
      <c r="L185" s="77" t="inlineStr">
        <is>
          <t>加急</t>
        </is>
      </c>
      <c r="M185" s="77" t="n"/>
      <c r="N185" s="77" t="n">
        <v>75.86</v>
      </c>
      <c r="O185" s="77" t="n"/>
      <c r="P185" s="77" t="inlineStr">
        <is>
          <t>未磷酸化</t>
        </is>
      </c>
      <c r="Q185" s="77" t="inlineStr">
        <is>
          <t>未环化</t>
        </is>
      </c>
    </row>
    <row r="186" ht="30" customHeight="1" s="80">
      <c r="A186" s="159" t="n"/>
      <c r="B186" s="155" t="inlineStr">
        <is>
          <t>HGC-Lib-26084497</t>
        </is>
      </c>
      <c r="C186" s="155" t="n">
        <v>77.95999999999999</v>
      </c>
      <c r="D186" s="156" t="n">
        <v>6</v>
      </c>
      <c r="E186" s="157" t="n">
        <v>0.543</v>
      </c>
      <c r="F186" s="157">
        <f>ROUND(E186/C186*G219,3)</f>
        <v/>
      </c>
      <c r="G186" s="155" t="inlineStr">
        <is>
          <t>mRNA</t>
        </is>
      </c>
      <c r="H186" s="155" t="inlineStr">
        <is>
          <t>江西烈冰生物科技有限公司</t>
        </is>
      </c>
      <c r="I186" s="157" t="n"/>
      <c r="J186" s="155" t="n"/>
      <c r="K186" s="155" t="n"/>
      <c r="L186" s="77" t="inlineStr">
        <is>
          <t>加急</t>
        </is>
      </c>
      <c r="M186" s="77" t="n"/>
      <c r="N186" s="77" t="n">
        <v>77.95999999999999</v>
      </c>
      <c r="O186" s="77" t="n"/>
      <c r="P186" s="77" t="inlineStr">
        <is>
          <t>未磷酸化</t>
        </is>
      </c>
      <c r="Q186" s="77" t="inlineStr">
        <is>
          <t>未环化</t>
        </is>
      </c>
    </row>
    <row r="187" ht="30" customHeight="1" s="80">
      <c r="A187" s="159" t="n"/>
      <c r="B187" s="155" t="inlineStr">
        <is>
          <t>HGC-Lib-26084498</t>
        </is>
      </c>
      <c r="C187" s="155" t="n">
        <v>73.58</v>
      </c>
      <c r="D187" s="156" t="n">
        <v>6</v>
      </c>
      <c r="E187" s="157" t="n">
        <v>0.543</v>
      </c>
      <c r="F187" s="157">
        <f>ROUND(E187/C187*G219,3)</f>
        <v/>
      </c>
      <c r="G187" s="155" t="inlineStr">
        <is>
          <t>mRNA</t>
        </is>
      </c>
      <c r="H187" s="155" t="inlineStr">
        <is>
          <t>江西烈冰生物科技有限公司</t>
        </is>
      </c>
      <c r="I187" s="157" t="n"/>
      <c r="J187" s="155" t="n"/>
      <c r="K187" s="155" t="n"/>
      <c r="L187" s="77" t="inlineStr">
        <is>
          <t>加急</t>
        </is>
      </c>
      <c r="M187" s="77" t="n"/>
      <c r="N187" s="77" t="n">
        <v>73.58</v>
      </c>
      <c r="O187" s="77" t="n"/>
      <c r="P187" s="77" t="inlineStr">
        <is>
          <t>未磷酸化</t>
        </is>
      </c>
      <c r="Q187" s="77" t="inlineStr">
        <is>
          <t>未环化</t>
        </is>
      </c>
    </row>
    <row r="188" ht="30" customHeight="1" s="80">
      <c r="A188" s="159" t="n"/>
      <c r="B188" s="155" t="inlineStr">
        <is>
          <t>HGC-Lib-26084499</t>
        </is>
      </c>
      <c r="C188" s="155" t="n">
        <v>76.48999999999999</v>
      </c>
      <c r="D188" s="156" t="n">
        <v>6</v>
      </c>
      <c r="E188" s="157" t="n">
        <v>0.543</v>
      </c>
      <c r="F188" s="157">
        <f>ROUND(E188/C188*G219,3)</f>
        <v/>
      </c>
      <c r="G188" s="155" t="inlineStr">
        <is>
          <t>mRNA</t>
        </is>
      </c>
      <c r="H188" s="155" t="inlineStr">
        <is>
          <t>江西烈冰生物科技有限公司</t>
        </is>
      </c>
      <c r="I188" s="157" t="n"/>
      <c r="J188" s="155" t="n"/>
      <c r="K188" s="155" t="n"/>
      <c r="L188" s="77" t="inlineStr">
        <is>
          <t>加急</t>
        </is>
      </c>
      <c r="M188" s="77" t="n"/>
      <c r="N188" s="77" t="n">
        <v>76.48999999999999</v>
      </c>
      <c r="O188" s="77" t="n"/>
      <c r="P188" s="77" t="inlineStr">
        <is>
          <t>未磷酸化</t>
        </is>
      </c>
      <c r="Q188" s="77" t="inlineStr">
        <is>
          <t>未环化</t>
        </is>
      </c>
    </row>
    <row r="189" ht="30" customHeight="1" s="80">
      <c r="A189" s="159" t="n"/>
      <c r="B189" s="155" t="inlineStr">
        <is>
          <t>HGC-Lib-26084500</t>
        </is>
      </c>
      <c r="C189" s="155" t="n">
        <v>73.64</v>
      </c>
      <c r="D189" s="156" t="n">
        <v>6</v>
      </c>
      <c r="E189" s="157" t="n">
        <v>0.543</v>
      </c>
      <c r="F189" s="157">
        <f>ROUND(E189/C189*G219,3)</f>
        <v/>
      </c>
      <c r="G189" s="155" t="inlineStr">
        <is>
          <t>mRNA</t>
        </is>
      </c>
      <c r="H189" s="155" t="inlineStr">
        <is>
          <t>江西烈冰生物科技有限公司</t>
        </is>
      </c>
      <c r="I189" s="157" t="n"/>
      <c r="J189" s="155" t="n"/>
      <c r="K189" s="155" t="n"/>
      <c r="L189" s="77" t="inlineStr">
        <is>
          <t>加急</t>
        </is>
      </c>
      <c r="M189" s="77" t="n"/>
      <c r="N189" s="77" t="n">
        <v>73.64</v>
      </c>
      <c r="O189" s="77" t="n"/>
      <c r="P189" s="77" t="inlineStr">
        <is>
          <t>未磷酸化</t>
        </is>
      </c>
      <c r="Q189" s="77" t="inlineStr">
        <is>
          <t>未环化</t>
        </is>
      </c>
    </row>
    <row r="190" ht="30" customHeight="1" s="80">
      <c r="A190" s="159" t="n"/>
      <c r="B190" s="155" t="inlineStr">
        <is>
          <t>HGC-Lib-26084501</t>
        </is>
      </c>
      <c r="C190" s="155" t="n">
        <v>73.93000000000001</v>
      </c>
      <c r="D190" s="156" t="n">
        <v>6</v>
      </c>
      <c r="E190" s="157" t="n">
        <v>0.543</v>
      </c>
      <c r="F190" s="157">
        <f>ROUND(E190/C190*G219,3)</f>
        <v/>
      </c>
      <c r="G190" s="155" t="inlineStr">
        <is>
          <t>mRNA</t>
        </is>
      </c>
      <c r="H190" s="155" t="inlineStr">
        <is>
          <t>江西烈冰生物科技有限公司</t>
        </is>
      </c>
      <c r="I190" s="157" t="n"/>
      <c r="J190" s="155" t="n"/>
      <c r="K190" s="155" t="n"/>
      <c r="L190" s="77" t="inlineStr">
        <is>
          <t>加急</t>
        </is>
      </c>
      <c r="M190" s="77" t="n"/>
      <c r="N190" s="77" t="n">
        <v>73.93000000000001</v>
      </c>
      <c r="O190" s="77" t="n"/>
      <c r="P190" s="77" t="inlineStr">
        <is>
          <t>未磷酸化</t>
        </is>
      </c>
      <c r="Q190" s="77" t="inlineStr">
        <is>
          <t>未环化</t>
        </is>
      </c>
    </row>
    <row r="191" ht="30" customHeight="1" s="80">
      <c r="A191" s="159" t="n"/>
      <c r="B191" s="155" t="inlineStr">
        <is>
          <t>HGC-Lib-26084502</t>
        </is>
      </c>
      <c r="C191" s="155" t="n">
        <v>71.12</v>
      </c>
      <c r="D191" s="156" t="n">
        <v>6</v>
      </c>
      <c r="E191" s="157" t="n">
        <v>0.543</v>
      </c>
      <c r="F191" s="157">
        <f>ROUND(E191/C191*G219,3)</f>
        <v/>
      </c>
      <c r="G191" s="155" t="inlineStr">
        <is>
          <t>mRNA</t>
        </is>
      </c>
      <c r="H191" s="155" t="inlineStr">
        <is>
          <t>江西烈冰生物科技有限公司</t>
        </is>
      </c>
      <c r="I191" s="157" t="n"/>
      <c r="J191" s="155" t="n"/>
      <c r="K191" s="155" t="n"/>
      <c r="L191" s="77" t="inlineStr">
        <is>
          <t>加急</t>
        </is>
      </c>
      <c r="M191" s="77" t="n"/>
      <c r="N191" s="77" t="n">
        <v>71.12</v>
      </c>
      <c r="O191" s="77" t="n"/>
      <c r="P191" s="77" t="inlineStr">
        <is>
          <t>未磷酸化</t>
        </is>
      </c>
      <c r="Q191" s="77" t="inlineStr">
        <is>
          <t>未环化</t>
        </is>
      </c>
    </row>
    <row r="192" ht="30" customHeight="1" s="80">
      <c r="A192" s="159" t="n"/>
      <c r="B192" s="155" t="inlineStr">
        <is>
          <t>HGC-Lib-26084503</t>
        </is>
      </c>
      <c r="C192" s="155" t="n">
        <v>75.54000000000001</v>
      </c>
      <c r="D192" s="156" t="n">
        <v>6</v>
      </c>
      <c r="E192" s="157" t="n">
        <v>0.543</v>
      </c>
      <c r="F192" s="157">
        <f>ROUND(E192/C192*G219,3)</f>
        <v/>
      </c>
      <c r="G192" s="155" t="inlineStr">
        <is>
          <t>mRNA</t>
        </is>
      </c>
      <c r="H192" s="155" t="inlineStr">
        <is>
          <t>江西烈冰生物科技有限公司</t>
        </is>
      </c>
      <c r="I192" s="157" t="n"/>
      <c r="J192" s="155" t="n"/>
      <c r="K192" s="155" t="n"/>
      <c r="L192" s="77" t="inlineStr">
        <is>
          <t>加急</t>
        </is>
      </c>
      <c r="M192" s="77" t="n"/>
      <c r="N192" s="77" t="n">
        <v>75.54000000000001</v>
      </c>
      <c r="O192" s="77" t="n"/>
      <c r="P192" s="77" t="inlineStr">
        <is>
          <t>未磷酸化</t>
        </is>
      </c>
      <c r="Q192" s="77" t="inlineStr">
        <is>
          <t>未环化</t>
        </is>
      </c>
    </row>
    <row r="193" ht="30" customHeight="1" s="80">
      <c r="A193" s="159" t="n"/>
      <c r="B193" s="155" t="inlineStr">
        <is>
          <t>HGC-Lib-26084504</t>
        </is>
      </c>
      <c r="C193" s="155" t="n">
        <v>78.59999999999999</v>
      </c>
      <c r="D193" s="156" t="n">
        <v>6</v>
      </c>
      <c r="E193" s="157" t="n">
        <v>0.543</v>
      </c>
      <c r="F193" s="157">
        <f>ROUND(E193/C193*G219,3)</f>
        <v/>
      </c>
      <c r="G193" s="155" t="inlineStr">
        <is>
          <t>mRNA</t>
        </is>
      </c>
      <c r="H193" s="155" t="inlineStr">
        <is>
          <t>江西烈冰生物科技有限公司</t>
        </is>
      </c>
      <c r="I193" s="157" t="n"/>
      <c r="J193" s="155" t="n"/>
      <c r="K193" s="155" t="n"/>
      <c r="L193" s="77" t="inlineStr">
        <is>
          <t>加急</t>
        </is>
      </c>
      <c r="M193" s="77" t="n"/>
      <c r="N193" s="77" t="n">
        <v>78.59999999999999</v>
      </c>
      <c r="O193" s="77" t="n"/>
      <c r="P193" s="77" t="inlineStr">
        <is>
          <t>未磷酸化</t>
        </is>
      </c>
      <c r="Q193" s="77" t="inlineStr">
        <is>
          <t>未环化</t>
        </is>
      </c>
    </row>
    <row r="194" ht="30" customHeight="1" s="80">
      <c r="A194" s="159" t="n"/>
      <c r="B194" s="155" t="inlineStr">
        <is>
          <t>HGC-Lib-26084505</t>
        </is>
      </c>
      <c r="C194" s="155" t="n">
        <v>83.43000000000001</v>
      </c>
      <c r="D194" s="156" t="n">
        <v>6</v>
      </c>
      <c r="E194" s="157" t="n">
        <v>0.543</v>
      </c>
      <c r="F194" s="157">
        <f>ROUND(E194/C194*G219,3)</f>
        <v/>
      </c>
      <c r="G194" s="155" t="inlineStr">
        <is>
          <t>mRNA</t>
        </is>
      </c>
      <c r="H194" s="155" t="inlineStr">
        <is>
          <t>江西烈冰生物科技有限公司</t>
        </is>
      </c>
      <c r="I194" s="157" t="n"/>
      <c r="J194" s="155" t="n"/>
      <c r="K194" s="155" t="n"/>
      <c r="L194" s="77" t="inlineStr">
        <is>
          <t>加急</t>
        </is>
      </c>
      <c r="M194" s="77" t="n"/>
      <c r="N194" s="77" t="n">
        <v>83.43000000000001</v>
      </c>
      <c r="O194" s="77" t="n"/>
      <c r="P194" s="77" t="inlineStr">
        <is>
          <t>未磷酸化</t>
        </is>
      </c>
      <c r="Q194" s="77" t="inlineStr">
        <is>
          <t>未环化</t>
        </is>
      </c>
    </row>
    <row r="195" ht="30" customHeight="1" s="80">
      <c r="A195" s="159" t="n"/>
      <c r="B195" s="155" t="inlineStr">
        <is>
          <t>HGC-Lib-26084506</t>
        </is>
      </c>
      <c r="C195" s="155" t="n">
        <v>81.3</v>
      </c>
      <c r="D195" s="156" t="n">
        <v>6</v>
      </c>
      <c r="E195" s="157" t="n">
        <v>0.543</v>
      </c>
      <c r="F195" s="157">
        <f>ROUND(E195/C195*G219,3)</f>
        <v/>
      </c>
      <c r="G195" s="155" t="inlineStr">
        <is>
          <t>mRNA</t>
        </is>
      </c>
      <c r="H195" s="155" t="inlineStr">
        <is>
          <t>江西烈冰生物科技有限公司</t>
        </is>
      </c>
      <c r="I195" s="157" t="n"/>
      <c r="J195" s="155" t="n"/>
      <c r="K195" s="155" t="n"/>
      <c r="L195" s="77" t="inlineStr">
        <is>
          <t>加急</t>
        </is>
      </c>
      <c r="M195" s="77" t="n"/>
      <c r="N195" s="77" t="n">
        <v>81.3</v>
      </c>
      <c r="O195" s="77" t="n"/>
      <c r="P195" s="77" t="inlineStr">
        <is>
          <t>未磷酸化</t>
        </is>
      </c>
      <c r="Q195" s="77" t="inlineStr">
        <is>
          <t>未环化</t>
        </is>
      </c>
    </row>
    <row r="196" ht="30" customHeight="1" s="80">
      <c r="A196" s="159" t="n"/>
      <c r="B196" s="155" t="inlineStr">
        <is>
          <t>HGC-Lib-26084507</t>
        </is>
      </c>
      <c r="C196" s="155" t="n">
        <v>79.62</v>
      </c>
      <c r="D196" s="156" t="n">
        <v>6</v>
      </c>
      <c r="E196" s="157" t="n">
        <v>0.543</v>
      </c>
      <c r="F196" s="157">
        <f>ROUND(E196/C196*G219,3)</f>
        <v/>
      </c>
      <c r="G196" s="155" t="inlineStr">
        <is>
          <t>mRNA</t>
        </is>
      </c>
      <c r="H196" s="155" t="inlineStr">
        <is>
          <t>江西烈冰生物科技有限公司</t>
        </is>
      </c>
      <c r="I196" s="157" t="n"/>
      <c r="J196" s="155" t="n"/>
      <c r="K196" s="155" t="n"/>
      <c r="L196" s="77" t="inlineStr">
        <is>
          <t>加急</t>
        </is>
      </c>
      <c r="M196" s="77" t="n"/>
      <c r="N196" s="77" t="n">
        <v>79.62</v>
      </c>
      <c r="O196" s="77" t="n"/>
      <c r="P196" s="77" t="inlineStr">
        <is>
          <t>未磷酸化</t>
        </is>
      </c>
      <c r="Q196" s="77" t="inlineStr">
        <is>
          <t>未环化</t>
        </is>
      </c>
    </row>
    <row r="197" ht="30" customHeight="1" s="80">
      <c r="A197" s="159" t="n"/>
      <c r="B197" s="155" t="inlineStr">
        <is>
          <t>HGC-Lib-26084508</t>
        </is>
      </c>
      <c r="C197" s="155" t="n">
        <v>78.73999999999999</v>
      </c>
      <c r="D197" s="156" t="n">
        <v>6</v>
      </c>
      <c r="E197" s="157" t="n">
        <v>0.543</v>
      </c>
      <c r="F197" s="157">
        <f>ROUND(E197/C197*G219,3)</f>
        <v/>
      </c>
      <c r="G197" s="155" t="inlineStr">
        <is>
          <t>mRNA</t>
        </is>
      </c>
      <c r="H197" s="155" t="inlineStr">
        <is>
          <t>江西烈冰生物科技有限公司</t>
        </is>
      </c>
      <c r="I197" s="157" t="n"/>
      <c r="J197" s="155" t="n"/>
      <c r="K197" s="155" t="n"/>
      <c r="L197" s="77" t="inlineStr">
        <is>
          <t>加急</t>
        </is>
      </c>
      <c r="M197" s="77" t="n"/>
      <c r="N197" s="77" t="n">
        <v>78.73999999999999</v>
      </c>
      <c r="O197" s="77" t="n"/>
      <c r="P197" s="77" t="inlineStr">
        <is>
          <t>未磷酸化</t>
        </is>
      </c>
      <c r="Q197" s="77" t="inlineStr">
        <is>
          <t>未环化</t>
        </is>
      </c>
    </row>
    <row r="198" ht="30" customHeight="1" s="80">
      <c r="A198" s="159" t="n"/>
      <c r="B198" s="155" t="inlineStr">
        <is>
          <t>HGC-Lib-26084509</t>
        </is>
      </c>
      <c r="C198" s="155" t="n">
        <v>76.13</v>
      </c>
      <c r="D198" s="156" t="n">
        <v>6</v>
      </c>
      <c r="E198" s="157" t="n">
        <v>0.543</v>
      </c>
      <c r="F198" s="157">
        <f>ROUND(E198/C198*G219,3)</f>
        <v/>
      </c>
      <c r="G198" s="155" t="inlineStr">
        <is>
          <t>mRNA</t>
        </is>
      </c>
      <c r="H198" s="155" t="inlineStr">
        <is>
          <t>江西烈冰生物科技有限公司</t>
        </is>
      </c>
      <c r="I198" s="157" t="n"/>
      <c r="J198" s="155" t="n"/>
      <c r="K198" s="155" t="n"/>
      <c r="L198" s="77" t="inlineStr">
        <is>
          <t>加急</t>
        </is>
      </c>
      <c r="M198" s="77" t="n"/>
      <c r="N198" s="77" t="n">
        <v>76.13</v>
      </c>
      <c r="O198" s="77" t="n"/>
      <c r="P198" s="77" t="inlineStr">
        <is>
          <t>未磷酸化</t>
        </is>
      </c>
      <c r="Q198" s="77" t="inlineStr">
        <is>
          <t>未环化</t>
        </is>
      </c>
    </row>
    <row r="199" ht="30" customHeight="1" s="80">
      <c r="A199" s="159" t="n"/>
      <c r="B199" s="155" t="inlineStr">
        <is>
          <t>HGC-Lib-26084510</t>
        </is>
      </c>
      <c r="C199" s="155" t="n">
        <v>77.78</v>
      </c>
      <c r="D199" s="156" t="n">
        <v>6</v>
      </c>
      <c r="E199" s="157" t="n">
        <v>0.543</v>
      </c>
      <c r="F199" s="157">
        <f>ROUND(E199/C199*G219,3)</f>
        <v/>
      </c>
      <c r="G199" s="155" t="inlineStr">
        <is>
          <t>mRNA</t>
        </is>
      </c>
      <c r="H199" s="155" t="inlineStr">
        <is>
          <t>江西烈冰生物科技有限公司</t>
        </is>
      </c>
      <c r="I199" s="157" t="n"/>
      <c r="J199" s="155" t="n"/>
      <c r="K199" s="155" t="n"/>
      <c r="L199" s="77" t="inlineStr">
        <is>
          <t>加急</t>
        </is>
      </c>
      <c r="M199" s="77" t="n"/>
      <c r="N199" s="77" t="n">
        <v>77.78</v>
      </c>
      <c r="O199" s="77" t="n"/>
      <c r="P199" s="77" t="inlineStr">
        <is>
          <t>未磷酸化</t>
        </is>
      </c>
      <c r="Q199" s="77" t="inlineStr">
        <is>
          <t>未环化</t>
        </is>
      </c>
    </row>
    <row r="200" ht="30" customHeight="1" s="80">
      <c r="A200" s="159" t="n"/>
      <c r="B200" s="155" t="inlineStr">
        <is>
          <t>HGC-Lib-26084511</t>
        </is>
      </c>
      <c r="C200" s="155" t="n">
        <v>83.83</v>
      </c>
      <c r="D200" s="156" t="n">
        <v>6</v>
      </c>
      <c r="E200" s="157" t="n">
        <v>0.543</v>
      </c>
      <c r="F200" s="157">
        <f>ROUND(E200/C200*G219,3)</f>
        <v/>
      </c>
      <c r="G200" s="155" t="inlineStr">
        <is>
          <t>mRNA</t>
        </is>
      </c>
      <c r="H200" s="155" t="inlineStr">
        <is>
          <t>江西烈冰生物科技有限公司</t>
        </is>
      </c>
      <c r="I200" s="157" t="n"/>
      <c r="J200" s="155" t="n"/>
      <c r="K200" s="155" t="n"/>
      <c r="L200" s="77" t="inlineStr">
        <is>
          <t>加急</t>
        </is>
      </c>
      <c r="M200" s="77" t="n"/>
      <c r="N200" s="77" t="n">
        <v>83.83</v>
      </c>
      <c r="O200" s="77" t="n"/>
      <c r="P200" s="77" t="inlineStr">
        <is>
          <t>未磷酸化</t>
        </is>
      </c>
      <c r="Q200" s="77" t="inlineStr">
        <is>
          <t>未环化</t>
        </is>
      </c>
    </row>
    <row r="201" ht="30" customHeight="1" s="80">
      <c r="A201" s="159" t="n"/>
      <c r="B201" s="155" t="inlineStr">
        <is>
          <t>HGC-Lib-26084512</t>
        </is>
      </c>
      <c r="C201" s="155" t="n">
        <v>80.62</v>
      </c>
      <c r="D201" s="156" t="n">
        <v>6</v>
      </c>
      <c r="E201" s="157" t="n">
        <v>0.543</v>
      </c>
      <c r="F201" s="157">
        <f>ROUND(E201/C201*G219,3)</f>
        <v/>
      </c>
      <c r="G201" s="155" t="inlineStr">
        <is>
          <t>mRNA</t>
        </is>
      </c>
      <c r="H201" s="155" t="inlineStr">
        <is>
          <t>江西烈冰生物科技有限公司</t>
        </is>
      </c>
      <c r="I201" s="157" t="n"/>
      <c r="J201" s="155" t="n"/>
      <c r="K201" s="155" t="n"/>
      <c r="L201" s="77" t="inlineStr">
        <is>
          <t>加急</t>
        </is>
      </c>
      <c r="M201" s="77" t="n"/>
      <c r="N201" s="77" t="n">
        <v>80.62</v>
      </c>
      <c r="O201" s="77" t="n"/>
      <c r="P201" s="77" t="inlineStr">
        <is>
          <t>未磷酸化</t>
        </is>
      </c>
      <c r="Q201" s="77" t="inlineStr">
        <is>
          <t>未环化</t>
        </is>
      </c>
    </row>
    <row r="202" ht="30" customHeight="1" s="80">
      <c r="A202" s="159" t="n"/>
      <c r="B202" s="155" t="inlineStr">
        <is>
          <t>HGC-Lib-26084513</t>
        </is>
      </c>
      <c r="C202" s="155" t="n">
        <v>81.5</v>
      </c>
      <c r="D202" s="156" t="n">
        <v>6</v>
      </c>
      <c r="E202" s="157" t="n">
        <v>0.543</v>
      </c>
      <c r="F202" s="157">
        <f>ROUND(E202/C202*G219,3)</f>
        <v/>
      </c>
      <c r="G202" s="155" t="inlineStr">
        <is>
          <t>mRNA</t>
        </is>
      </c>
      <c r="H202" s="155" t="inlineStr">
        <is>
          <t>江西烈冰生物科技有限公司</t>
        </is>
      </c>
      <c r="I202" s="157" t="n"/>
      <c r="J202" s="155" t="n"/>
      <c r="K202" s="155" t="n"/>
      <c r="L202" s="77" t="inlineStr">
        <is>
          <t>加急</t>
        </is>
      </c>
      <c r="M202" s="77" t="n"/>
      <c r="N202" s="77" t="n">
        <v>81.5</v>
      </c>
      <c r="O202" s="77" t="n"/>
      <c r="P202" s="77" t="inlineStr">
        <is>
          <t>未磷酸化</t>
        </is>
      </c>
      <c r="Q202" s="77" t="inlineStr">
        <is>
          <t>未环化</t>
        </is>
      </c>
    </row>
    <row r="203" ht="30" customHeight="1" s="80">
      <c r="A203" s="159" t="n"/>
      <c r="B203" s="155" t="inlineStr">
        <is>
          <t>HGC-Lib-26084514</t>
        </is>
      </c>
      <c r="C203" s="155" t="n">
        <v>78.97</v>
      </c>
      <c r="D203" s="156" t="n">
        <v>6</v>
      </c>
      <c r="E203" s="157" t="n">
        <v>0.543</v>
      </c>
      <c r="F203" s="157">
        <f>ROUND(E203/C203*G219,3)</f>
        <v/>
      </c>
      <c r="G203" s="155" t="inlineStr">
        <is>
          <t>mRNA</t>
        </is>
      </c>
      <c r="H203" s="155" t="inlineStr">
        <is>
          <t>江西烈冰生物科技有限公司</t>
        </is>
      </c>
      <c r="I203" s="157" t="n"/>
      <c r="J203" s="155" t="n"/>
      <c r="K203" s="155" t="n"/>
      <c r="L203" s="77" t="inlineStr">
        <is>
          <t>加急</t>
        </is>
      </c>
      <c r="M203" s="77" t="n"/>
      <c r="N203" s="77" t="n">
        <v>78.97</v>
      </c>
      <c r="O203" s="77" t="n"/>
      <c r="P203" s="77" t="inlineStr">
        <is>
          <t>未磷酸化</t>
        </is>
      </c>
      <c r="Q203" s="77" t="inlineStr">
        <is>
          <t>未环化</t>
        </is>
      </c>
    </row>
    <row r="204" ht="30" customHeight="1" s="80">
      <c r="A204" s="159" t="n"/>
      <c r="B204" s="155" t="inlineStr">
        <is>
          <t>HGC-Lib-26084515</t>
        </is>
      </c>
      <c r="C204" s="155" t="n">
        <v>85.70999999999999</v>
      </c>
      <c r="D204" s="156" t="n">
        <v>6</v>
      </c>
      <c r="E204" s="157" t="n">
        <v>0.543</v>
      </c>
      <c r="F204" s="157">
        <f>ROUND(E204/C204*G219,3)</f>
        <v/>
      </c>
      <c r="G204" s="155" t="inlineStr">
        <is>
          <t>mRNA</t>
        </is>
      </c>
      <c r="H204" s="155" t="inlineStr">
        <is>
          <t>江西烈冰生物科技有限公司</t>
        </is>
      </c>
      <c r="I204" s="157" t="n"/>
      <c r="J204" s="155" t="n"/>
      <c r="K204" s="155" t="n"/>
      <c r="L204" s="77" t="inlineStr">
        <is>
          <t>加急</t>
        </is>
      </c>
      <c r="M204" s="77" t="n"/>
      <c r="N204" s="77" t="n">
        <v>85.70999999999999</v>
      </c>
      <c r="O204" s="77" t="n"/>
      <c r="P204" s="77" t="inlineStr">
        <is>
          <t>未磷酸化</t>
        </is>
      </c>
      <c r="Q204" s="77" t="inlineStr">
        <is>
          <t>未环化</t>
        </is>
      </c>
    </row>
    <row r="205" ht="30" customHeight="1" s="80">
      <c r="A205" s="159" t="n"/>
      <c r="B205" s="155" t="inlineStr">
        <is>
          <t>HGC-Lib-26084516</t>
        </is>
      </c>
      <c r="C205" s="155" t="n">
        <v>79.69</v>
      </c>
      <c r="D205" s="156" t="n">
        <v>6</v>
      </c>
      <c r="E205" s="157" t="n">
        <v>0.543</v>
      </c>
      <c r="F205" s="157">
        <f>ROUND(E205/C205*G219,3)</f>
        <v/>
      </c>
      <c r="G205" s="155" t="inlineStr">
        <is>
          <t>mRNA</t>
        </is>
      </c>
      <c r="H205" s="155" t="inlineStr">
        <is>
          <t>江西烈冰生物科技有限公司</t>
        </is>
      </c>
      <c r="I205" s="157" t="n"/>
      <c r="J205" s="155" t="n"/>
      <c r="K205" s="155" t="n"/>
      <c r="L205" s="77" t="inlineStr">
        <is>
          <t>加急</t>
        </is>
      </c>
      <c r="M205" s="77" t="n"/>
      <c r="N205" s="77" t="n">
        <v>79.69</v>
      </c>
      <c r="O205" s="77" t="n"/>
      <c r="P205" s="77" t="inlineStr">
        <is>
          <t>未磷酸化</t>
        </is>
      </c>
      <c r="Q205" s="77" t="inlineStr">
        <is>
          <t>未环化</t>
        </is>
      </c>
    </row>
    <row r="206" ht="30" customHeight="1" s="80">
      <c r="A206" s="159" t="n"/>
      <c r="B206" s="155" t="inlineStr">
        <is>
          <t>HGC-Lib-26084517</t>
        </is>
      </c>
      <c r="C206" s="155" t="n">
        <v>81.17</v>
      </c>
      <c r="D206" s="156" t="n">
        <v>6</v>
      </c>
      <c r="E206" s="157" t="n">
        <v>0.543</v>
      </c>
      <c r="F206" s="157">
        <f>ROUND(E206/C206*G219,3)</f>
        <v/>
      </c>
      <c r="G206" s="155" t="inlineStr">
        <is>
          <t>mRNA</t>
        </is>
      </c>
      <c r="H206" s="155" t="inlineStr">
        <is>
          <t>江西烈冰生物科技有限公司</t>
        </is>
      </c>
      <c r="I206" s="157" t="n"/>
      <c r="J206" s="155" t="n"/>
      <c r="K206" s="155" t="n"/>
      <c r="L206" s="77" t="inlineStr">
        <is>
          <t>加急</t>
        </is>
      </c>
      <c r="M206" s="77" t="n"/>
      <c r="N206" s="77" t="n">
        <v>81.17</v>
      </c>
      <c r="O206" s="77" t="n"/>
      <c r="P206" s="77" t="inlineStr">
        <is>
          <t>未磷酸化</t>
        </is>
      </c>
      <c r="Q206" s="77" t="inlineStr">
        <is>
          <t>未环化</t>
        </is>
      </c>
    </row>
    <row r="207" ht="30" customHeight="1" s="80">
      <c r="A207" s="159" t="n"/>
      <c r="B207" s="155" t="inlineStr">
        <is>
          <t>HGC-Lib-26084518</t>
        </is>
      </c>
      <c r="C207" s="155" t="n">
        <v>85.20999999999999</v>
      </c>
      <c r="D207" s="156" t="n">
        <v>6</v>
      </c>
      <c r="E207" s="157" t="n">
        <v>0.543</v>
      </c>
      <c r="F207" s="157">
        <f>ROUND(E207/C207*G219,3)</f>
        <v/>
      </c>
      <c r="G207" s="155" t="inlineStr">
        <is>
          <t>mRNA</t>
        </is>
      </c>
      <c r="H207" s="155" t="inlineStr">
        <is>
          <t>江西烈冰生物科技有限公司</t>
        </is>
      </c>
      <c r="I207" s="157" t="n"/>
      <c r="J207" s="155" t="n"/>
      <c r="K207" s="155" t="n"/>
      <c r="L207" s="77" t="inlineStr">
        <is>
          <t>加急</t>
        </is>
      </c>
      <c r="M207" s="77" t="n"/>
      <c r="N207" s="77" t="n">
        <v>85.20999999999999</v>
      </c>
      <c r="O207" s="77" t="n"/>
      <c r="P207" s="77" t="inlineStr">
        <is>
          <t>未磷酸化</t>
        </is>
      </c>
      <c r="Q207" s="77" t="inlineStr">
        <is>
          <t>未环化</t>
        </is>
      </c>
    </row>
    <row r="208" ht="30" customHeight="1" s="80">
      <c r="A208" s="159" t="n"/>
      <c r="B208" s="155" t="inlineStr">
        <is>
          <t>HGC-Lib-26084519</t>
        </is>
      </c>
      <c r="C208" s="155" t="n">
        <v>79.67</v>
      </c>
      <c r="D208" s="156" t="n">
        <v>6</v>
      </c>
      <c r="E208" s="157" t="n">
        <v>0.543</v>
      </c>
      <c r="F208" s="157">
        <f>ROUND(E208/C208*G219,3)</f>
        <v/>
      </c>
      <c r="G208" s="155" t="inlineStr">
        <is>
          <t>mRNA</t>
        </is>
      </c>
      <c r="H208" s="155" t="inlineStr">
        <is>
          <t>江西烈冰生物科技有限公司</t>
        </is>
      </c>
      <c r="I208" s="157" t="n"/>
      <c r="J208" s="155" t="n"/>
      <c r="K208" s="155" t="n"/>
      <c r="L208" s="77" t="inlineStr">
        <is>
          <t>加急</t>
        </is>
      </c>
      <c r="M208" s="77" t="n"/>
      <c r="N208" s="77" t="n">
        <v>79.67</v>
      </c>
      <c r="O208" s="77" t="n"/>
      <c r="P208" s="77" t="inlineStr">
        <is>
          <t>未磷酸化</t>
        </is>
      </c>
      <c r="Q208" s="77" t="inlineStr">
        <is>
          <t>未环化</t>
        </is>
      </c>
    </row>
    <row r="209" ht="30" customHeight="1" s="80">
      <c r="A209" s="159" t="n"/>
      <c r="B209" s="155" t="inlineStr">
        <is>
          <t>HGC-Lib-26084520</t>
        </is>
      </c>
      <c r="C209" s="155" t="n">
        <v>80.31999999999999</v>
      </c>
      <c r="D209" s="156" t="n">
        <v>6</v>
      </c>
      <c r="E209" s="157" t="n">
        <v>0.543</v>
      </c>
      <c r="F209" s="157">
        <f>ROUND(E209/C209*G219,3)</f>
        <v/>
      </c>
      <c r="G209" s="155" t="inlineStr">
        <is>
          <t>mRNA</t>
        </is>
      </c>
      <c r="H209" s="155" t="inlineStr">
        <is>
          <t>江西烈冰生物科技有限公司</t>
        </is>
      </c>
      <c r="I209" s="157" t="n"/>
      <c r="J209" s="155" t="n"/>
      <c r="K209" s="155" t="n"/>
      <c r="L209" s="77" t="inlineStr">
        <is>
          <t>加急</t>
        </is>
      </c>
      <c r="M209" s="77" t="n"/>
      <c r="N209" s="77" t="n">
        <v>80.31999999999999</v>
      </c>
      <c r="O209" s="77" t="n"/>
      <c r="P209" s="77" t="inlineStr">
        <is>
          <t>未磷酸化</t>
        </is>
      </c>
      <c r="Q209" s="77" t="inlineStr">
        <is>
          <t>未环化</t>
        </is>
      </c>
    </row>
    <row r="210" ht="30" customHeight="1" s="80">
      <c r="A210" s="159" t="n"/>
      <c r="B210" s="155" t="inlineStr">
        <is>
          <t>HGC-Lib-26084521</t>
        </is>
      </c>
      <c r="C210" s="155" t="n">
        <v>78.37</v>
      </c>
      <c r="D210" s="156" t="n">
        <v>6</v>
      </c>
      <c r="E210" s="157" t="n">
        <v>0.543</v>
      </c>
      <c r="F210" s="157">
        <f>ROUND(E210/C210*G219,3)</f>
        <v/>
      </c>
      <c r="G210" s="155" t="inlineStr">
        <is>
          <t>mRNA</t>
        </is>
      </c>
      <c r="H210" s="155" t="inlineStr">
        <is>
          <t>江西烈冰生物科技有限公司</t>
        </is>
      </c>
      <c r="I210" s="157" t="n"/>
      <c r="J210" s="155" t="n"/>
      <c r="K210" s="155" t="n"/>
      <c r="L210" s="77" t="inlineStr">
        <is>
          <t>加急</t>
        </is>
      </c>
      <c r="M210" s="77" t="n"/>
      <c r="N210" s="77" t="n">
        <v>78.37</v>
      </c>
      <c r="O210" s="77" t="n"/>
      <c r="P210" s="77" t="inlineStr">
        <is>
          <t>未磷酸化</t>
        </is>
      </c>
      <c r="Q210" s="77" t="inlineStr">
        <is>
          <t>未环化</t>
        </is>
      </c>
    </row>
    <row r="211" ht="30" customHeight="1" s="80">
      <c r="A211" s="159" t="n"/>
      <c r="B211" s="155" t="inlineStr">
        <is>
          <t>HGC-Lib-26084522</t>
        </is>
      </c>
      <c r="C211" s="155" t="n">
        <v>78.16</v>
      </c>
      <c r="D211" s="156" t="n">
        <v>6</v>
      </c>
      <c r="E211" s="157" t="n">
        <v>0.543</v>
      </c>
      <c r="F211" s="157">
        <f>ROUND(E211/C211*G219,3)</f>
        <v/>
      </c>
      <c r="G211" s="155" t="inlineStr">
        <is>
          <t>mRNA</t>
        </is>
      </c>
      <c r="H211" s="155" t="inlineStr">
        <is>
          <t>江西烈冰生物科技有限公司</t>
        </is>
      </c>
      <c r="I211" s="157" t="n"/>
      <c r="J211" s="155" t="n"/>
      <c r="K211" s="155" t="n"/>
      <c r="L211" s="77" t="inlineStr">
        <is>
          <t>加急</t>
        </is>
      </c>
      <c r="M211" s="77" t="n"/>
      <c r="N211" s="77" t="n">
        <v>78.16</v>
      </c>
      <c r="O211" s="77" t="n"/>
      <c r="P211" s="77" t="inlineStr">
        <is>
          <t>未磷酸化</t>
        </is>
      </c>
      <c r="Q211" s="77" t="inlineStr">
        <is>
          <t>未环化</t>
        </is>
      </c>
    </row>
    <row r="212" ht="30" customHeight="1" s="80">
      <c r="A212" s="159" t="n"/>
      <c r="B212" s="155" t="inlineStr">
        <is>
          <t>HGC-Lib-26084523</t>
        </is>
      </c>
      <c r="C212" s="155" t="n">
        <v>84.61</v>
      </c>
      <c r="D212" s="156" t="n">
        <v>6</v>
      </c>
      <c r="E212" s="157" t="n">
        <v>0.543</v>
      </c>
      <c r="F212" s="157">
        <f>ROUND(E212/C212*G219,3)</f>
        <v/>
      </c>
      <c r="G212" s="155" t="inlineStr">
        <is>
          <t>mRNA</t>
        </is>
      </c>
      <c r="H212" s="155" t="inlineStr">
        <is>
          <t>江西烈冰生物科技有限公司</t>
        </is>
      </c>
      <c r="I212" s="157" t="n"/>
      <c r="J212" s="155" t="n"/>
      <c r="K212" s="155" t="n"/>
      <c r="L212" s="77" t="inlineStr">
        <is>
          <t>加急</t>
        </is>
      </c>
      <c r="M212" s="77" t="n"/>
      <c r="N212" s="77" t="n">
        <v>84.61</v>
      </c>
      <c r="O212" s="77" t="n"/>
      <c r="P212" s="77" t="inlineStr">
        <is>
          <t>未磷酸化</t>
        </is>
      </c>
      <c r="Q212" s="77" t="inlineStr">
        <is>
          <t>未环化</t>
        </is>
      </c>
    </row>
    <row r="213" ht="30" customHeight="1" s="80">
      <c r="A213" s="159" t="n"/>
      <c r="B213" s="155" t="inlineStr">
        <is>
          <t>HGC-Lib-26084524</t>
        </is>
      </c>
      <c r="C213" s="155" t="n">
        <v>88.06999999999999</v>
      </c>
      <c r="D213" s="156" t="n">
        <v>6</v>
      </c>
      <c r="E213" s="157" t="n">
        <v>0.543</v>
      </c>
      <c r="F213" s="157">
        <f>ROUND(E213/C213*G219,3)</f>
        <v/>
      </c>
      <c r="G213" s="155" t="inlineStr">
        <is>
          <t>mRNA</t>
        </is>
      </c>
      <c r="H213" s="155" t="inlineStr">
        <is>
          <t>江西烈冰生物科技有限公司</t>
        </is>
      </c>
      <c r="I213" s="157" t="n"/>
      <c r="J213" s="155" t="n"/>
      <c r="K213" s="155" t="n"/>
      <c r="L213" s="77" t="inlineStr">
        <is>
          <t>加急</t>
        </is>
      </c>
      <c r="M213" s="77" t="n"/>
      <c r="N213" s="77" t="n">
        <v>88.06999999999999</v>
      </c>
      <c r="O213" s="77" t="n"/>
      <c r="P213" s="77" t="inlineStr">
        <is>
          <t>未磷酸化</t>
        </is>
      </c>
      <c r="Q213" s="77" t="inlineStr">
        <is>
          <t>未环化</t>
        </is>
      </c>
    </row>
    <row r="214" ht="30" customHeight="1" s="80">
      <c r="A214" s="159" t="n"/>
      <c r="B214" s="155" t="inlineStr">
        <is>
          <t>HGC-Lib-26084525</t>
        </is>
      </c>
      <c r="C214" s="155" t="n">
        <v>85.67</v>
      </c>
      <c r="D214" s="156" t="n">
        <v>6</v>
      </c>
      <c r="E214" s="157" t="n">
        <v>0.543</v>
      </c>
      <c r="F214" s="157">
        <f>ROUND(E214/C214*G219,3)</f>
        <v/>
      </c>
      <c r="G214" s="155" t="inlineStr">
        <is>
          <t>mRNA</t>
        </is>
      </c>
      <c r="H214" s="155" t="inlineStr">
        <is>
          <t>江西烈冰生物科技有限公司</t>
        </is>
      </c>
      <c r="I214" s="157" t="n"/>
      <c r="J214" s="155" t="n"/>
      <c r="K214" s="155" t="n"/>
      <c r="L214" s="77" t="inlineStr">
        <is>
          <t>加急</t>
        </is>
      </c>
      <c r="M214" s="77" t="n"/>
      <c r="N214" s="77" t="n">
        <v>85.67</v>
      </c>
      <c r="O214" s="77" t="n"/>
      <c r="P214" s="77" t="inlineStr">
        <is>
          <t>未磷酸化</t>
        </is>
      </c>
      <c r="Q214" s="77" t="inlineStr">
        <is>
          <t>未环化</t>
        </is>
      </c>
    </row>
    <row r="215" ht="30" customHeight="1" s="80">
      <c r="A215" s="159" t="n"/>
      <c r="B215" s="155" t="inlineStr">
        <is>
          <t>HGC-Lib-26084526</t>
        </is>
      </c>
      <c r="C215" s="155" t="n">
        <v>87.78</v>
      </c>
      <c r="D215" s="156" t="n">
        <v>6</v>
      </c>
      <c r="E215" s="157" t="n">
        <v>0.543</v>
      </c>
      <c r="F215" s="157">
        <f>ROUND(E215/C215*G219,3)</f>
        <v/>
      </c>
      <c r="G215" s="155" t="inlineStr">
        <is>
          <t>mRNA</t>
        </is>
      </c>
      <c r="H215" s="155" t="inlineStr">
        <is>
          <t>江西烈冰生物科技有限公司</t>
        </is>
      </c>
      <c r="I215" s="157" t="n"/>
      <c r="J215" s="155" t="n"/>
      <c r="K215" s="155" t="n"/>
      <c r="L215" s="77" t="inlineStr">
        <is>
          <t>加急</t>
        </is>
      </c>
      <c r="M215" s="77" t="n"/>
      <c r="N215" s="77" t="n">
        <v>87.78</v>
      </c>
      <c r="O215" s="77" t="n"/>
      <c r="P215" s="77" t="inlineStr">
        <is>
          <t>未磷酸化</t>
        </is>
      </c>
      <c r="Q215" s="77" t="inlineStr">
        <is>
          <t>未环化</t>
        </is>
      </c>
    </row>
    <row r="216" ht="30" customHeight="1" s="80">
      <c r="A216" s="159" t="n"/>
      <c r="B216" s="155" t="inlineStr">
        <is>
          <t>HGC-Lib-26084527</t>
        </is>
      </c>
      <c r="C216" s="155" t="n">
        <v>83.81999999999999</v>
      </c>
      <c r="D216" s="156" t="n">
        <v>6</v>
      </c>
      <c r="E216" s="157" t="n">
        <v>0.543</v>
      </c>
      <c r="F216" s="157">
        <f>ROUND(E216/C216*G219,3)</f>
        <v/>
      </c>
      <c r="G216" s="155" t="inlineStr">
        <is>
          <t>mRNA</t>
        </is>
      </c>
      <c r="H216" s="155" t="inlineStr">
        <is>
          <t>江西烈冰生物科技有限公司</t>
        </is>
      </c>
      <c r="I216" s="157" t="n"/>
      <c r="J216" s="155" t="n"/>
      <c r="K216" s="155" t="n"/>
      <c r="L216" s="77" t="inlineStr">
        <is>
          <t>加急</t>
        </is>
      </c>
      <c r="M216" s="77" t="n"/>
      <c r="N216" s="77" t="n">
        <v>83.81999999999999</v>
      </c>
      <c r="O216" s="77" t="n"/>
      <c r="P216" s="77" t="inlineStr">
        <is>
          <t>未磷酸化</t>
        </is>
      </c>
      <c r="Q216" s="77" t="inlineStr">
        <is>
          <t>未环化</t>
        </is>
      </c>
    </row>
    <row r="217" ht="30" customHeight="1" s="80">
      <c r="A217" s="159" t="n"/>
      <c r="B217" s="155" t="inlineStr">
        <is>
          <t>HGC-Lib-26084528</t>
        </is>
      </c>
      <c r="C217" s="155" t="n">
        <v>81.01000000000001</v>
      </c>
      <c r="D217" s="156" t="n">
        <v>6</v>
      </c>
      <c r="E217" s="157" t="n">
        <v>0.543</v>
      </c>
      <c r="F217" s="157">
        <f>ROUND(E217/C217*G219,3)</f>
        <v/>
      </c>
      <c r="G217" s="155" t="inlineStr">
        <is>
          <t>mRNA</t>
        </is>
      </c>
      <c r="H217" s="155" t="inlineStr">
        <is>
          <t>江西烈冰生物科技有限公司</t>
        </is>
      </c>
      <c r="I217" s="157" t="n"/>
      <c r="J217" s="155" t="n"/>
      <c r="K217" s="155" t="n"/>
      <c r="L217" s="77" t="inlineStr">
        <is>
          <t>加急</t>
        </is>
      </c>
      <c r="M217" s="77" t="n"/>
      <c r="N217" s="77" t="n">
        <v>81.01000000000001</v>
      </c>
      <c r="O217" s="77" t="n"/>
      <c r="P217" s="77" t="inlineStr">
        <is>
          <t>未磷酸化</t>
        </is>
      </c>
      <c r="Q217" s="77" t="inlineStr">
        <is>
          <t>未环化</t>
        </is>
      </c>
    </row>
    <row r="218" ht="30" customHeight="1" s="80">
      <c r="A218" s="160" t="n"/>
      <c r="B218" s="155" t="inlineStr">
        <is>
          <t>HGC-Lib-26084529</t>
        </is>
      </c>
      <c r="C218" s="155" t="n">
        <v>76.61</v>
      </c>
      <c r="D218" s="156" t="n">
        <v>6</v>
      </c>
      <c r="E218" s="157" t="n">
        <v>0.543</v>
      </c>
      <c r="F218" s="157">
        <f>ROUND(E218/C218*G219,3)</f>
        <v/>
      </c>
      <c r="G218" s="155" t="inlineStr">
        <is>
          <t>mRNA</t>
        </is>
      </c>
      <c r="H218" s="155" t="inlineStr">
        <is>
          <t>江西烈冰生物科技有限公司</t>
        </is>
      </c>
      <c r="I218" s="157" t="n"/>
      <c r="J218" s="155" t="n"/>
      <c r="K218" s="155" t="n"/>
      <c r="L218" s="77" t="inlineStr">
        <is>
          <t>加急</t>
        </is>
      </c>
      <c r="M218" s="77" t="n"/>
      <c r="N218" s="77" t="n">
        <v>76.61</v>
      </c>
      <c r="O218" s="77" t="n"/>
      <c r="P218" s="77" t="inlineStr">
        <is>
          <t>未磷酸化</t>
        </is>
      </c>
      <c r="Q218" s="77" t="inlineStr">
        <is>
          <t>未环化</t>
        </is>
      </c>
    </row>
    <row r="219" ht="30" customHeight="1" s="80">
      <c r="A219" s="78" t="n"/>
      <c r="B219" s="78" t="n"/>
      <c r="C219" s="78" t="n"/>
      <c r="D219" s="86">
        <f>ROUND(SUM(D127:D218),2)</f>
        <v/>
      </c>
      <c r="E219" s="87" t="n">
        <v>49.956</v>
      </c>
      <c r="F219" s="87">
        <f>IF(G219&gt;1,ROUND(SUM(F127:F218)/G219*2,3),ROUND(SUM(F127:F218),3))</f>
        <v/>
      </c>
      <c r="G219" s="77" t="n">
        <v>84</v>
      </c>
      <c r="H219" s="78" t="n"/>
      <c r="I219" s="158">
        <f>ROUND(20-F219,3)</f>
        <v/>
      </c>
      <c r="J219" s="78" t="n"/>
      <c r="K219" s="78" t="n"/>
      <c r="L219" s="78" t="n"/>
      <c r="M219" s="77">
        <f>AVERAGE(M127:M218)</f>
        <v/>
      </c>
      <c r="N219" s="78" t="n"/>
      <c r="O219" s="78" t="n"/>
      <c r="P219" s="78" t="n"/>
      <c r="Q219" s="78" t="n"/>
    </row>
    <row r="220" ht="30" customHeight="1" s="80">
      <c r="A220" s="155" t="inlineStr">
        <is>
          <t>B10</t>
        </is>
      </c>
      <c r="B220" s="155" t="inlineStr">
        <is>
          <t>HGC-Lib-26077049</t>
        </is>
      </c>
      <c r="C220" s="155" t="n">
        <v>18.7</v>
      </c>
      <c r="D220" s="156" t="n">
        <v>150</v>
      </c>
      <c r="E220" s="157" t="n">
        <v>50</v>
      </c>
      <c r="F220" s="157">
        <f>ROUND(E220/C220*G221,3)</f>
        <v/>
      </c>
      <c r="G220" s="155" t="inlineStr">
        <is>
          <t>自建单细胞3`转录组文库</t>
        </is>
      </c>
      <c r="H220" s="155" t="inlineStr">
        <is>
          <t>深圳达普生物科技有限公司</t>
        </is>
      </c>
      <c r="I220" s="157" t="n"/>
      <c r="J220" s="155" t="n"/>
      <c r="K220" s="155" t="n"/>
      <c r="L220" s="77" t="inlineStr">
        <is>
          <t>加测_260623_R21016100250033_ML150006280</t>
        </is>
      </c>
      <c r="M220" s="77" t="n">
        <v>417</v>
      </c>
      <c r="N220" s="77" t="n">
        <v>18.7</v>
      </c>
      <c r="O220" s="77" t="inlineStr">
        <is>
          <t>Illumina Truseq文库</t>
        </is>
      </c>
      <c r="P220" s="77" t="inlineStr">
        <is>
          <t>未磷酸化</t>
        </is>
      </c>
      <c r="Q220" s="77" t="inlineStr">
        <is>
          <t>未环化</t>
        </is>
      </c>
    </row>
    <row r="221" ht="30" customHeight="1" s="80">
      <c r="A221" s="78" t="n"/>
      <c r="B221" s="78" t="n"/>
      <c r="C221" s="78" t="n"/>
      <c r="D221" s="86">
        <f>ROUND(SUM(D220:D220),2)</f>
        <v/>
      </c>
      <c r="E221" s="87" t="n">
        <v>50</v>
      </c>
      <c r="F221" s="87">
        <f>IF(G221&gt;1,ROUND(SUM(F220:F220)/G221*2,3),ROUND(SUM(F220:F220),3))</f>
        <v/>
      </c>
      <c r="G221" s="77" t="n">
        <v>1</v>
      </c>
      <c r="H221" s="78" t="n"/>
      <c r="I221" s="158">
        <f>ROUND(20-F221,3)</f>
        <v/>
      </c>
      <c r="J221" s="78" t="n"/>
      <c r="K221" s="78" t="n"/>
      <c r="L221" s="78" t="n"/>
      <c r="M221" s="77">
        <f>AVERAGE(M220:M220)</f>
        <v/>
      </c>
      <c r="N221" s="78" t="n"/>
      <c r="O221" s="78" t="n"/>
      <c r="P221" s="78" t="n"/>
      <c r="Q221" s="78" t="n"/>
    </row>
    <row r="222" ht="30" customFormat="1" customHeight="1" s="28">
      <c r="A222" s="161" t="inlineStr">
        <is>
          <t>B11</t>
        </is>
      </c>
      <c r="B222" s="155" t="inlineStr">
        <is>
          <t>HGC-Lib-26083212</t>
        </is>
      </c>
      <c r="C222" s="155" t="n">
        <v>16.04</v>
      </c>
      <c r="D222" s="156" t="n">
        <v>2</v>
      </c>
      <c r="E222" s="157" t="n">
        <v>25</v>
      </c>
      <c r="F222" s="157">
        <f>ROUND(E222/C222*G234,3)</f>
        <v/>
      </c>
      <c r="G222" s="155" t="inlineStr">
        <is>
          <t>华大-C4-oligo</t>
        </is>
      </c>
      <c r="H222" s="155" t="inlineStr">
        <is>
          <t>广州奥智生物科技有限公司</t>
        </is>
      </c>
      <c r="I222" s="157" t="n"/>
      <c r="J222" s="155" t="n"/>
      <c r="K222" s="155" t="n"/>
      <c r="L222" s="77" t="n"/>
      <c r="M222" s="77" t="n"/>
      <c r="N222" s="77" t="n">
        <v>16.04</v>
      </c>
      <c r="O222" s="77" t="inlineStr">
        <is>
          <t>华大单barcode文库</t>
        </is>
      </c>
      <c r="P222" s="77" t="inlineStr">
        <is>
          <t>已磷酸化</t>
        </is>
      </c>
      <c r="Q222" s="77" t="inlineStr">
        <is>
          <t>未环化</t>
        </is>
      </c>
    </row>
    <row r="223" ht="30" customFormat="1" customHeight="1" s="28">
      <c r="A223" s="159" t="n"/>
      <c r="B223" s="155" t="inlineStr">
        <is>
          <t>HGC-Lib-26083246</t>
        </is>
      </c>
      <c r="C223" s="155" t="n">
        <v>17</v>
      </c>
      <c r="D223" s="156" t="n">
        <v>2</v>
      </c>
      <c r="E223" s="157" t="n">
        <v>25</v>
      </c>
      <c r="F223" s="157">
        <f>ROUND(E223/C223*G234,3)</f>
        <v/>
      </c>
      <c r="G223" s="155" t="inlineStr">
        <is>
          <t>华大-C4-oligo</t>
        </is>
      </c>
      <c r="H223" s="155" t="inlineStr">
        <is>
          <t>广州奥智生物科技有限公司</t>
        </is>
      </c>
      <c r="I223" s="157" t="n"/>
      <c r="J223" s="155" t="n"/>
      <c r="K223" s="155" t="n"/>
      <c r="L223" s="77" t="n"/>
      <c r="M223" s="77" t="n"/>
      <c r="N223" s="77" t="n">
        <v>17</v>
      </c>
      <c r="O223" s="77" t="inlineStr">
        <is>
          <t>华大单barcode文库</t>
        </is>
      </c>
      <c r="P223" s="77" t="inlineStr">
        <is>
          <t>已磷酸化</t>
        </is>
      </c>
      <c r="Q223" s="77" t="inlineStr">
        <is>
          <t>未环化</t>
        </is>
      </c>
    </row>
    <row r="224" ht="30" customFormat="1" customHeight="1" s="28">
      <c r="A224" s="159" t="n"/>
      <c r="B224" s="155" t="inlineStr">
        <is>
          <t>HGC-Lib-26083248</t>
        </is>
      </c>
      <c r="C224" s="155" t="n">
        <v>17.43</v>
      </c>
      <c r="D224" s="156" t="n">
        <v>2</v>
      </c>
      <c r="E224" s="157" t="n">
        <v>25</v>
      </c>
      <c r="F224" s="157">
        <f>ROUND(E224/C224*G234,3)</f>
        <v/>
      </c>
      <c r="G224" s="155" t="inlineStr">
        <is>
          <t>华大-C4-oligo</t>
        </is>
      </c>
      <c r="H224" s="155" t="inlineStr">
        <is>
          <t>广州奥智生物科技有限公司</t>
        </is>
      </c>
      <c r="I224" s="157" t="n"/>
      <c r="J224" s="155" t="n"/>
      <c r="K224" s="155" t="n"/>
      <c r="L224" s="77" t="n"/>
      <c r="M224" s="77" t="n"/>
      <c r="N224" s="77" t="n">
        <v>17.43</v>
      </c>
      <c r="O224" s="77" t="inlineStr">
        <is>
          <t>华大单barcode文库</t>
        </is>
      </c>
      <c r="P224" s="77" t="inlineStr">
        <is>
          <t>已磷酸化</t>
        </is>
      </c>
      <c r="Q224" s="77" t="inlineStr">
        <is>
          <t>未环化</t>
        </is>
      </c>
    </row>
    <row r="225" ht="30" customHeight="1" s="80">
      <c r="A225" s="159" t="n"/>
      <c r="B225" s="155" t="inlineStr">
        <is>
          <t>HGC-Lib-26083214</t>
        </is>
      </c>
      <c r="C225" s="155" t="n">
        <v>16.03</v>
      </c>
      <c r="D225" s="156" t="n">
        <v>2</v>
      </c>
      <c r="E225" s="157" t="n">
        <v>25</v>
      </c>
      <c r="F225" s="157">
        <f>ROUND(E225/C225*G234,3)</f>
        <v/>
      </c>
      <c r="G225" s="155" t="inlineStr">
        <is>
          <t>华大-C4-oligo</t>
        </is>
      </c>
      <c r="H225" s="155" t="inlineStr">
        <is>
          <t>广州奥智生物科技有限公司</t>
        </is>
      </c>
      <c r="I225" s="157" t="n"/>
      <c r="J225" s="155" t="n"/>
      <c r="K225" s="155" t="n"/>
      <c r="L225" s="77" t="n"/>
      <c r="M225" s="77" t="n"/>
      <c r="N225" s="77" t="n">
        <v>16.03</v>
      </c>
      <c r="O225" s="77" t="inlineStr">
        <is>
          <t>华大单barcode文库</t>
        </is>
      </c>
      <c r="P225" s="77" t="inlineStr">
        <is>
          <t>已磷酸化</t>
        </is>
      </c>
      <c r="Q225" s="77" t="inlineStr">
        <is>
          <t>未环化</t>
        </is>
      </c>
    </row>
    <row r="226" ht="30" customFormat="1" customHeight="1" s="28">
      <c r="A226" s="159" t="n"/>
      <c r="B226" s="155" t="inlineStr">
        <is>
          <t>HGC-Lib-26083216</t>
        </is>
      </c>
      <c r="C226" s="155" t="n">
        <v>13.88</v>
      </c>
      <c r="D226" s="156" t="n">
        <v>2</v>
      </c>
      <c r="E226" s="157" t="n">
        <v>25</v>
      </c>
      <c r="F226" s="157">
        <f>ROUND(E226/C226*G234,3)</f>
        <v/>
      </c>
      <c r="G226" s="155" t="inlineStr">
        <is>
          <t>华大-C4-oligo</t>
        </is>
      </c>
      <c r="H226" s="155" t="inlineStr">
        <is>
          <t>广州奥智生物科技有限公司</t>
        </is>
      </c>
      <c r="I226" s="157" t="n"/>
      <c r="J226" s="155" t="n"/>
      <c r="K226" s="155" t="n"/>
      <c r="L226" s="77" t="n"/>
      <c r="M226" s="77" t="n"/>
      <c r="N226" s="77" t="n">
        <v>13.88</v>
      </c>
      <c r="O226" s="77" t="inlineStr">
        <is>
          <t>华大单barcode文库</t>
        </is>
      </c>
      <c r="P226" s="77" t="inlineStr">
        <is>
          <t>已磷酸化</t>
        </is>
      </c>
      <c r="Q226" s="77" t="inlineStr">
        <is>
          <t>未环化</t>
        </is>
      </c>
    </row>
    <row r="227" ht="30" customFormat="1" customHeight="1" s="28">
      <c r="A227" s="159" t="n"/>
      <c r="B227" s="155" t="inlineStr">
        <is>
          <t>HGC-Lib-26083218</t>
        </is>
      </c>
      <c r="C227" s="155" t="n">
        <v>17.44</v>
      </c>
      <c r="D227" s="156" t="n">
        <v>2</v>
      </c>
      <c r="E227" s="157" t="n">
        <v>25</v>
      </c>
      <c r="F227" s="157">
        <f>ROUND(E227/C227*G234,3)</f>
        <v/>
      </c>
      <c r="G227" s="155" t="inlineStr">
        <is>
          <t>华大-C4-oligo</t>
        </is>
      </c>
      <c r="H227" s="155" t="inlineStr">
        <is>
          <t>广州奥智生物科技有限公司</t>
        </is>
      </c>
      <c r="I227" s="157" t="n"/>
      <c r="J227" s="155" t="n"/>
      <c r="K227" s="155" t="n"/>
      <c r="L227" s="77" t="n"/>
      <c r="M227" s="77" t="n"/>
      <c r="N227" s="77" t="n">
        <v>17.44</v>
      </c>
      <c r="O227" s="77" t="inlineStr">
        <is>
          <t>华大单barcode文库</t>
        </is>
      </c>
      <c r="P227" s="77" t="inlineStr">
        <is>
          <t>已磷酸化</t>
        </is>
      </c>
      <c r="Q227" s="77" t="inlineStr">
        <is>
          <t>未环化</t>
        </is>
      </c>
    </row>
    <row r="228" ht="30" customFormat="1" customHeight="1" s="28">
      <c r="A228" s="159" t="n"/>
      <c r="B228" s="155" t="inlineStr">
        <is>
          <t>HGC-Lib-26083220</t>
        </is>
      </c>
      <c r="C228" s="155" t="n">
        <v>14.87</v>
      </c>
      <c r="D228" s="156" t="n">
        <v>2</v>
      </c>
      <c r="E228" s="157" t="n">
        <v>25</v>
      </c>
      <c r="F228" s="157">
        <f>ROUND(E228/C228*G234,3)</f>
        <v/>
      </c>
      <c r="G228" s="155" t="inlineStr">
        <is>
          <t>华大-C4-oligo</t>
        </is>
      </c>
      <c r="H228" s="155" t="inlineStr">
        <is>
          <t>广州奥智生物科技有限公司</t>
        </is>
      </c>
      <c r="I228" s="157" t="n"/>
      <c r="J228" s="155" t="n"/>
      <c r="K228" s="155" t="n"/>
      <c r="L228" s="77" t="n"/>
      <c r="M228" s="77" t="n"/>
      <c r="N228" s="77" t="n">
        <v>14.87</v>
      </c>
      <c r="O228" s="77" t="inlineStr">
        <is>
          <t>华大单barcode文库</t>
        </is>
      </c>
      <c r="P228" s="77" t="inlineStr">
        <is>
          <t>已磷酸化</t>
        </is>
      </c>
      <c r="Q228" s="77" t="inlineStr">
        <is>
          <t>未环化</t>
        </is>
      </c>
    </row>
    <row r="229" ht="30" customHeight="1" s="80">
      <c r="A229" s="159" t="n"/>
      <c r="B229" s="155" t="inlineStr">
        <is>
          <t>HGC-Lib-26083222</t>
        </is>
      </c>
      <c r="C229" s="155" t="n">
        <v>15.94</v>
      </c>
      <c r="D229" s="156" t="n">
        <v>2</v>
      </c>
      <c r="E229" s="157" t="n">
        <v>25</v>
      </c>
      <c r="F229" s="157">
        <f>ROUND(E229/C229*G234,3)</f>
        <v/>
      </c>
      <c r="G229" s="155" t="inlineStr">
        <is>
          <t>华大-C4-oligo</t>
        </is>
      </c>
      <c r="H229" s="155" t="inlineStr">
        <is>
          <t>广州奥智生物科技有限公司</t>
        </is>
      </c>
      <c r="I229" s="157" t="n"/>
      <c r="J229" s="155" t="n"/>
      <c r="K229" s="155" t="n"/>
      <c r="L229" s="77" t="n"/>
      <c r="M229" s="77" t="n"/>
      <c r="N229" s="77" t="n">
        <v>15.94</v>
      </c>
      <c r="O229" s="77" t="inlineStr">
        <is>
          <t>华大单barcode文库</t>
        </is>
      </c>
      <c r="P229" s="77" t="inlineStr">
        <is>
          <t>已磷酸化</t>
        </is>
      </c>
      <c r="Q229" s="77" t="inlineStr">
        <is>
          <t>未环化</t>
        </is>
      </c>
    </row>
    <row r="230" ht="30" customFormat="1" customHeight="1" s="28">
      <c r="A230" s="159" t="n"/>
      <c r="B230" s="155" t="inlineStr">
        <is>
          <t>HGC-Lib-26083224</t>
        </is>
      </c>
      <c r="C230" s="155" t="n">
        <v>17.14</v>
      </c>
      <c r="D230" s="156" t="n">
        <v>2</v>
      </c>
      <c r="E230" s="157" t="n">
        <v>25</v>
      </c>
      <c r="F230" s="157">
        <f>ROUND(E230/C230*G234,3)</f>
        <v/>
      </c>
      <c r="G230" s="155" t="inlineStr">
        <is>
          <t>华大-C4-oligo</t>
        </is>
      </c>
      <c r="H230" s="155" t="inlineStr">
        <is>
          <t>广州奥智生物科技有限公司</t>
        </is>
      </c>
      <c r="I230" s="157" t="n"/>
      <c r="J230" s="155" t="n"/>
      <c r="K230" s="155" t="n"/>
      <c r="L230" s="77" t="n"/>
      <c r="M230" s="77" t="n"/>
      <c r="N230" s="77" t="n">
        <v>17.14</v>
      </c>
      <c r="O230" s="77" t="inlineStr">
        <is>
          <t>华大单barcode文库</t>
        </is>
      </c>
      <c r="P230" s="77" t="inlineStr">
        <is>
          <t>已磷酸化</t>
        </is>
      </c>
      <c r="Q230" s="77" t="inlineStr">
        <is>
          <t>未环化</t>
        </is>
      </c>
    </row>
    <row r="231" ht="30" customFormat="1" customHeight="1" s="28">
      <c r="A231" s="159" t="n"/>
      <c r="B231" s="155" t="inlineStr">
        <is>
          <t>HGC-Lib-26083226</t>
        </is>
      </c>
      <c r="C231" s="155" t="n">
        <v>15.02</v>
      </c>
      <c r="D231" s="156" t="n">
        <v>2</v>
      </c>
      <c r="E231" s="157" t="n">
        <v>25</v>
      </c>
      <c r="F231" s="157">
        <f>ROUND(E231/C231*G234,3)</f>
        <v/>
      </c>
      <c r="G231" s="155" t="inlineStr">
        <is>
          <t>华大-C4-oligo</t>
        </is>
      </c>
      <c r="H231" s="155" t="inlineStr">
        <is>
          <t>广州奥智生物科技有限公司</t>
        </is>
      </c>
      <c r="I231" s="157" t="n"/>
      <c r="J231" s="155" t="n"/>
      <c r="K231" s="155" t="n"/>
      <c r="L231" s="77" t="n"/>
      <c r="M231" s="77" t="n"/>
      <c r="N231" s="77" t="n">
        <v>15.02</v>
      </c>
      <c r="O231" s="77" t="inlineStr">
        <is>
          <t>华大单barcode文库</t>
        </is>
      </c>
      <c r="P231" s="77" t="inlineStr">
        <is>
          <t>已磷酸化</t>
        </is>
      </c>
      <c r="Q231" s="77" t="inlineStr">
        <is>
          <t>未环化</t>
        </is>
      </c>
    </row>
    <row r="232" ht="30" customFormat="1" customHeight="1" s="28">
      <c r="A232" s="159" t="n"/>
      <c r="B232" s="155" t="inlineStr">
        <is>
          <t>HGC-Lib-26083228</t>
        </is>
      </c>
      <c r="C232" s="155" t="n">
        <v>18.19</v>
      </c>
      <c r="D232" s="156" t="n">
        <v>2</v>
      </c>
      <c r="E232" s="157" t="n">
        <v>25</v>
      </c>
      <c r="F232" s="157">
        <f>ROUND(E232/C232*G234,3)</f>
        <v/>
      </c>
      <c r="G232" s="155" t="inlineStr">
        <is>
          <t>华大-C4-oligo</t>
        </is>
      </c>
      <c r="H232" s="155" t="inlineStr">
        <is>
          <t>广州奥智生物科技有限公司</t>
        </is>
      </c>
      <c r="I232" s="157" t="n"/>
      <c r="J232" s="155" t="n"/>
      <c r="K232" s="155" t="n"/>
      <c r="L232" s="77" t="n"/>
      <c r="M232" s="77" t="n"/>
      <c r="N232" s="77" t="n">
        <v>18.19</v>
      </c>
      <c r="O232" s="77" t="inlineStr">
        <is>
          <t>华大单barcode文库</t>
        </is>
      </c>
      <c r="P232" s="77" t="inlineStr">
        <is>
          <t>已磷酸化</t>
        </is>
      </c>
      <c r="Q232" s="77" t="inlineStr">
        <is>
          <t>未环化</t>
        </is>
      </c>
    </row>
    <row r="233" ht="30" customFormat="1" customHeight="1" s="28">
      <c r="A233" s="160" t="n"/>
      <c r="B233" s="155" t="inlineStr">
        <is>
          <t>HGC-Lib-26083230</t>
        </is>
      </c>
      <c r="C233" s="155" t="n">
        <v>16.39</v>
      </c>
      <c r="D233" s="156" t="n">
        <v>2</v>
      </c>
      <c r="E233" s="157" t="n">
        <v>25</v>
      </c>
      <c r="F233" s="157">
        <f>ROUND(E233/C233*G234,3)</f>
        <v/>
      </c>
      <c r="G233" s="155" t="inlineStr">
        <is>
          <t>华大-C4-oligo</t>
        </is>
      </c>
      <c r="H233" s="155" t="inlineStr">
        <is>
          <t>广州奥智生物科技有限公司</t>
        </is>
      </c>
      <c r="I233" s="157" t="n"/>
      <c r="J233" s="155" t="n"/>
      <c r="K233" s="155" t="n"/>
      <c r="L233" s="77" t="n"/>
      <c r="M233" s="77" t="n"/>
      <c r="N233" s="77" t="n">
        <v>16.39</v>
      </c>
      <c r="O233" s="77" t="inlineStr">
        <is>
          <t>华大单barcode文库</t>
        </is>
      </c>
      <c r="P233" s="77" t="inlineStr">
        <is>
          <t>已磷酸化</t>
        </is>
      </c>
      <c r="Q233" s="77" t="inlineStr">
        <is>
          <t>未环化</t>
        </is>
      </c>
    </row>
    <row r="234" ht="30" customFormat="1" customHeight="1" s="28">
      <c r="A234" s="78" t="n"/>
      <c r="B234" s="78" t="n"/>
      <c r="C234" s="78" t="n"/>
      <c r="D234" s="86">
        <f>ROUND(SUM(D222:D233),2)</f>
        <v/>
      </c>
      <c r="E234" s="87" t="n">
        <v>300</v>
      </c>
      <c r="F234" s="87">
        <f>IF(G234&gt;1,ROUND(SUM(F222:F233)/G234*2,3),ROUND(SUM(F222:F233),3))</f>
        <v/>
      </c>
      <c r="G234" s="77" t="n">
        <v>1</v>
      </c>
      <c r="H234" s="78" t="n"/>
      <c r="I234" s="158">
        <f>ROUND(40-F234,3)</f>
        <v/>
      </c>
      <c r="J234" s="78" t="n"/>
      <c r="K234" s="78" t="n"/>
      <c r="L234" s="78" t="n"/>
      <c r="M234" s="77">
        <f>AVERAGE(M222:M233)</f>
        <v/>
      </c>
      <c r="N234" s="78" t="n"/>
      <c r="O234" s="78" t="n"/>
      <c r="P234" s="78" t="n"/>
      <c r="Q234" s="78" t="n"/>
    </row>
    <row r="235" ht="30" customFormat="1" customHeight="1" s="28">
      <c r="A235" s="161" t="inlineStr">
        <is>
          <t>B12</t>
        </is>
      </c>
      <c r="B235" s="155" t="inlineStr">
        <is>
          <t>HGC-Lib-26083243</t>
        </is>
      </c>
      <c r="C235" s="155" t="n">
        <v>22.68</v>
      </c>
      <c r="D235" s="156" t="n">
        <v>88</v>
      </c>
      <c r="E235" s="157" t="n">
        <v>75</v>
      </c>
      <c r="F235" s="157">
        <f>ROUND(E235/C235*G239,3)</f>
        <v/>
      </c>
      <c r="G235" s="155" t="inlineStr">
        <is>
          <t>华大-C4-转录组</t>
        </is>
      </c>
      <c r="H235" s="155" t="inlineStr">
        <is>
          <t>广州奥智生物科技有限公司</t>
        </is>
      </c>
      <c r="I235" s="157" t="n"/>
      <c r="J235" s="155" t="n"/>
      <c r="K235" s="155" t="n"/>
      <c r="L235" s="77" t="n"/>
      <c r="M235" s="77" t="n"/>
      <c r="N235" s="77" t="n">
        <v>22.68</v>
      </c>
      <c r="O235" s="77" t="inlineStr">
        <is>
          <t>华大单barcode文库</t>
        </is>
      </c>
      <c r="P235" s="77" t="inlineStr">
        <is>
          <t>已磷酸化</t>
        </is>
      </c>
      <c r="Q235" s="77" t="inlineStr">
        <is>
          <t>未环化</t>
        </is>
      </c>
    </row>
    <row r="236" ht="30" customFormat="1" customHeight="1" s="28">
      <c r="A236" s="159" t="n"/>
      <c r="B236" s="155" t="inlineStr">
        <is>
          <t>HGC-Lib-26083245</t>
        </is>
      </c>
      <c r="C236" s="155" t="n">
        <v>12.48</v>
      </c>
      <c r="D236" s="156" t="n">
        <v>88</v>
      </c>
      <c r="E236" s="157" t="n">
        <v>75</v>
      </c>
      <c r="F236" s="157">
        <f>ROUND(E236/C236*G239,3)</f>
        <v/>
      </c>
      <c r="G236" s="155" t="inlineStr">
        <is>
          <t>华大-C4-转录组</t>
        </is>
      </c>
      <c r="H236" s="155" t="inlineStr">
        <is>
          <t>广州奥智生物科技有限公司</t>
        </is>
      </c>
      <c r="I236" s="157" t="n"/>
      <c r="J236" s="155" t="n"/>
      <c r="K236" s="155" t="n"/>
      <c r="L236" s="77" t="n"/>
      <c r="M236" s="77" t="n"/>
      <c r="N236" s="77" t="n">
        <v>12.48</v>
      </c>
      <c r="O236" s="77" t="inlineStr">
        <is>
          <t>华大单barcode文库</t>
        </is>
      </c>
      <c r="P236" s="77" t="inlineStr">
        <is>
          <t>已磷酸化</t>
        </is>
      </c>
      <c r="Q236" s="77" t="inlineStr">
        <is>
          <t>未环化</t>
        </is>
      </c>
    </row>
    <row r="237" ht="30" customFormat="1" customHeight="1" s="28">
      <c r="A237" s="159" t="n"/>
      <c r="B237" s="155" t="inlineStr">
        <is>
          <t>HGC-Lib-26083247</t>
        </is>
      </c>
      <c r="C237" s="155" t="n">
        <v>35.67</v>
      </c>
      <c r="D237" s="156" t="n">
        <v>88</v>
      </c>
      <c r="E237" s="157" t="n">
        <v>75</v>
      </c>
      <c r="F237" s="157">
        <f>ROUND(E237/C237*G239,3)</f>
        <v/>
      </c>
      <c r="G237" s="155" t="inlineStr">
        <is>
          <t>华大-C4-转录组</t>
        </is>
      </c>
      <c r="H237" s="155" t="inlineStr">
        <is>
          <t>广州奥智生物科技有限公司</t>
        </is>
      </c>
      <c r="I237" s="157" t="n"/>
      <c r="J237" s="155" t="n"/>
      <c r="K237" s="155" t="n"/>
      <c r="L237" s="77" t="n"/>
      <c r="M237" s="77" t="n"/>
      <c r="N237" s="77" t="n">
        <v>35.67</v>
      </c>
      <c r="O237" s="77" t="inlineStr">
        <is>
          <t>华大单barcode文库</t>
        </is>
      </c>
      <c r="P237" s="77" t="inlineStr">
        <is>
          <t>已磷酸化</t>
        </is>
      </c>
      <c r="Q237" s="77" t="inlineStr">
        <is>
          <t>未环化</t>
        </is>
      </c>
    </row>
    <row r="238" ht="30" customHeight="1" s="80">
      <c r="A238" s="160" t="n"/>
      <c r="B238" s="155" t="inlineStr">
        <is>
          <t>HGC-Lib-26083249</t>
        </is>
      </c>
      <c r="C238" s="155" t="n">
        <v>36.25</v>
      </c>
      <c r="D238" s="156" t="n">
        <v>88</v>
      </c>
      <c r="E238" s="157" t="n">
        <v>75</v>
      </c>
      <c r="F238" s="157">
        <f>ROUND(E238/C238*G239,3)</f>
        <v/>
      </c>
      <c r="G238" s="155" t="inlineStr">
        <is>
          <t>华大-C4-转录组</t>
        </is>
      </c>
      <c r="H238" s="155" t="inlineStr">
        <is>
          <t>广州奥智生物科技有限公司</t>
        </is>
      </c>
      <c r="I238" s="157" t="n"/>
      <c r="J238" s="155" t="n"/>
      <c r="K238" s="155" t="n"/>
      <c r="L238" s="77" t="n"/>
      <c r="M238" s="77" t="n"/>
      <c r="N238" s="77" t="n">
        <v>36.25</v>
      </c>
      <c r="O238" s="77" t="inlineStr">
        <is>
          <t>华大单barcode文库</t>
        </is>
      </c>
      <c r="P238" s="77" t="inlineStr">
        <is>
          <t>已磷酸化</t>
        </is>
      </c>
      <c r="Q238" s="77" t="inlineStr">
        <is>
          <t>未环化</t>
        </is>
      </c>
    </row>
    <row r="239" ht="30" customFormat="1" customHeight="1" s="28">
      <c r="A239" s="78" t="n"/>
      <c r="B239" s="78" t="n"/>
      <c r="C239" s="78" t="n"/>
      <c r="D239" s="86">
        <f>ROUND(SUM(D235:D238),2)</f>
        <v/>
      </c>
      <c r="E239" s="87" t="n">
        <v>300</v>
      </c>
      <c r="F239" s="87">
        <f>IF(G239&gt;1,ROUND(SUM(F235:F238)/G239*2,3),ROUND(SUM(F235:F238),3))</f>
        <v/>
      </c>
      <c r="G239" s="77" t="n">
        <v>1</v>
      </c>
      <c r="H239" s="78" t="n"/>
      <c r="I239" s="158">
        <f>ROUND(40-F239,3)</f>
        <v/>
      </c>
      <c r="J239" s="78" t="n"/>
      <c r="K239" s="78" t="n"/>
      <c r="L239" s="78" t="n"/>
      <c r="M239" s="77">
        <f>AVERAGE(M235:M238)</f>
        <v/>
      </c>
      <c r="N239" s="78" t="n"/>
      <c r="O239" s="78" t="n"/>
      <c r="P239" s="78" t="n"/>
      <c r="Q239" s="78" t="n"/>
    </row>
    <row r="240" ht="30" customFormat="1" customHeight="1" s="28">
      <c r="A240" s="161" t="inlineStr">
        <is>
          <t>B13</t>
        </is>
      </c>
      <c r="B240" s="155" t="inlineStr">
        <is>
          <t>HGC-Lib-26084325</t>
        </is>
      </c>
      <c r="C240" s="155" t="n">
        <v>23.2</v>
      </c>
      <c r="D240" s="156" t="n">
        <v>2</v>
      </c>
      <c r="E240" s="157" t="n">
        <v>100</v>
      </c>
      <c r="F240" s="157">
        <f>ROUND(E240/C240*G243,3)</f>
        <v/>
      </c>
      <c r="G240" s="155" t="inlineStr">
        <is>
          <t>扩增子文库</t>
        </is>
      </c>
      <c r="H240" s="155" t="inlineStr">
        <is>
          <t>广东美格基因科技有限公司</t>
        </is>
      </c>
      <c r="I240" s="157" t="n"/>
      <c r="J240" s="155" t="n"/>
      <c r="K240" s="155" t="n"/>
      <c r="L240" s="77" t="n"/>
      <c r="M240" s="77" t="n">
        <v>318</v>
      </c>
      <c r="N240" s="77" t="n">
        <v>23.2</v>
      </c>
      <c r="O240" s="77" t="inlineStr">
        <is>
          <t>华大双barcode文库</t>
        </is>
      </c>
      <c r="P240" s="77" t="inlineStr">
        <is>
          <t>已磷酸化</t>
        </is>
      </c>
      <c r="Q240" s="77" t="inlineStr">
        <is>
          <t>未环化</t>
        </is>
      </c>
    </row>
    <row r="241" ht="30" customFormat="1" customHeight="1" s="28">
      <c r="A241" s="159" t="n"/>
      <c r="B241" s="155" t="inlineStr">
        <is>
          <t>HGC-Lib-26084326</t>
        </is>
      </c>
      <c r="C241" s="155" t="n">
        <v>20.2</v>
      </c>
      <c r="D241" s="156" t="n">
        <v>2</v>
      </c>
      <c r="E241" s="157" t="n">
        <v>100</v>
      </c>
      <c r="F241" s="157">
        <f>ROUND(E241/C241*G243,3)</f>
        <v/>
      </c>
      <c r="G241" s="155" t="inlineStr">
        <is>
          <t>扩增子文库</t>
        </is>
      </c>
      <c r="H241" s="155" t="inlineStr">
        <is>
          <t>广东美格基因科技有限公司</t>
        </is>
      </c>
      <c r="I241" s="157" t="n"/>
      <c r="J241" s="155" t="n"/>
      <c r="K241" s="155" t="n"/>
      <c r="L241" s="77" t="n"/>
      <c r="M241" s="77" t="n">
        <v>315</v>
      </c>
      <c r="N241" s="77" t="n">
        <v>20.2</v>
      </c>
      <c r="O241" s="77" t="inlineStr">
        <is>
          <t>华大双barcode文库</t>
        </is>
      </c>
      <c r="P241" s="77" t="inlineStr">
        <is>
          <t>已磷酸化</t>
        </is>
      </c>
      <c r="Q241" s="77" t="inlineStr">
        <is>
          <t>未环化</t>
        </is>
      </c>
    </row>
    <row r="242" ht="30" customFormat="1" customHeight="1" s="28">
      <c r="A242" s="160" t="n"/>
      <c r="B242" s="155" t="inlineStr">
        <is>
          <t>HGC-Lib-26084327</t>
        </is>
      </c>
      <c r="C242" s="155" t="n">
        <v>31.2</v>
      </c>
      <c r="D242" s="156" t="n">
        <v>2</v>
      </c>
      <c r="E242" s="157" t="n">
        <v>100</v>
      </c>
      <c r="F242" s="157">
        <f>ROUND(E242/C242*G243,3)</f>
        <v/>
      </c>
      <c r="G242" s="155" t="inlineStr">
        <is>
          <t>扩增子文库</t>
        </is>
      </c>
      <c r="H242" s="155" t="inlineStr">
        <is>
          <t>广东美格基因科技有限公司</t>
        </is>
      </c>
      <c r="I242" s="157" t="n"/>
      <c r="J242" s="155" t="n"/>
      <c r="K242" s="155" t="n"/>
      <c r="L242" s="77" t="n"/>
      <c r="M242" s="77" t="n">
        <v>311</v>
      </c>
      <c r="N242" s="77" t="n">
        <v>31.2</v>
      </c>
      <c r="O242" s="77" t="inlineStr">
        <is>
          <t>华大双barcode文库</t>
        </is>
      </c>
      <c r="P242" s="77" t="inlineStr">
        <is>
          <t>已磷酸化</t>
        </is>
      </c>
      <c r="Q242" s="77" t="inlineStr">
        <is>
          <t>未环化</t>
        </is>
      </c>
    </row>
    <row r="243" ht="30" customFormat="1" customHeight="1" s="28">
      <c r="A243" s="78" t="n"/>
      <c r="B243" s="78" t="n"/>
      <c r="C243" s="78" t="n"/>
      <c r="D243" s="86">
        <f>ROUND(SUM(D240:D242),2)</f>
        <v/>
      </c>
      <c r="E243" s="87" t="n">
        <v>300</v>
      </c>
      <c r="F243" s="87">
        <f>IF(G243&gt;1,ROUND(SUM(F240:F242)/G243*2,3),ROUND(SUM(F240:F242),3))</f>
        <v/>
      </c>
      <c r="G243" s="77" t="n">
        <v>1</v>
      </c>
      <c r="H243" s="78" t="n"/>
      <c r="I243" s="158">
        <f>ROUND(40-F243,3)</f>
        <v/>
      </c>
      <c r="J243" s="78" t="n"/>
      <c r="K243" s="78" t="n"/>
      <c r="L243" s="78" t="n"/>
      <c r="M243" s="77">
        <f>AVERAGE(M240:M242)</f>
        <v/>
      </c>
      <c r="N243" s="78" t="n"/>
      <c r="O243" s="78" t="n"/>
      <c r="P243" s="78" t="n"/>
      <c r="Q243" s="78" t="n"/>
    </row>
    <row r="244" ht="30" customFormat="1" customHeight="1" s="28">
      <c r="A244" s="161" t="inlineStr">
        <is>
          <t>B14</t>
        </is>
      </c>
      <c r="B244" s="155" t="inlineStr">
        <is>
          <t>HGC-Lib-26080746</t>
        </is>
      </c>
      <c r="C244" s="155" t="n">
        <v>69.04000000000001</v>
      </c>
      <c r="D244" s="156" t="n">
        <v>10</v>
      </c>
      <c r="E244" s="157" t="n">
        <v>27.273</v>
      </c>
      <c r="F244" s="157">
        <f>ROUND(E244/C244*G255,3)</f>
        <v/>
      </c>
      <c r="G244" s="155" t="inlineStr">
        <is>
          <t>华大C4-cDNA</t>
        </is>
      </c>
      <c r="H244" s="155" t="inlineStr">
        <is>
          <t>广州世益科技有限公司</t>
        </is>
      </c>
      <c r="I244" s="157" t="n"/>
      <c r="J244" s="155" t="n"/>
      <c r="K244" s="155" t="n"/>
      <c r="L244" s="77" t="n"/>
      <c r="M244" s="77" t="n">
        <v>425</v>
      </c>
      <c r="N244" s="77" t="n">
        <v>69.04000000000001</v>
      </c>
      <c r="O244" s="77" t="inlineStr">
        <is>
          <t>华大单barcode文库</t>
        </is>
      </c>
      <c r="P244" s="77" t="inlineStr">
        <is>
          <t>已磷酸化</t>
        </is>
      </c>
      <c r="Q244" s="77" t="inlineStr">
        <is>
          <t>未环化</t>
        </is>
      </c>
    </row>
    <row r="245" ht="30" customFormat="1" customHeight="1" s="28">
      <c r="A245" s="159" t="n"/>
      <c r="B245" s="155" t="inlineStr">
        <is>
          <t>HGC-Lib-26080724</t>
        </is>
      </c>
      <c r="C245" s="155" t="n">
        <v>46.8</v>
      </c>
      <c r="D245" s="156" t="n">
        <v>10</v>
      </c>
      <c r="E245" s="157" t="n">
        <v>27.273</v>
      </c>
      <c r="F245" s="157">
        <f>ROUND(E245/C245*G255,3)</f>
        <v/>
      </c>
      <c r="G245" s="155" t="inlineStr">
        <is>
          <t>华大C4-cDNA</t>
        </is>
      </c>
      <c r="H245" s="155" t="inlineStr">
        <is>
          <t>广州世益科技有限公司</t>
        </is>
      </c>
      <c r="I245" s="157" t="n"/>
      <c r="J245" s="155" t="n"/>
      <c r="K245" s="155" t="n"/>
      <c r="L245" s="77" t="n"/>
      <c r="M245" s="77" t="n">
        <v>450</v>
      </c>
      <c r="N245" s="77" t="n">
        <v>46.8</v>
      </c>
      <c r="O245" s="77" t="inlineStr">
        <is>
          <t>华大单barcode文库</t>
        </is>
      </c>
      <c r="P245" s="77" t="inlineStr">
        <is>
          <t>已磷酸化</t>
        </is>
      </c>
      <c r="Q245" s="77" t="inlineStr">
        <is>
          <t>未环化</t>
        </is>
      </c>
    </row>
    <row r="246" ht="30" customFormat="1" customHeight="1" s="28">
      <c r="A246" s="159" t="n"/>
      <c r="B246" s="155" t="inlineStr">
        <is>
          <t>HGC-Lib-26080726</t>
        </is>
      </c>
      <c r="C246" s="155" t="n">
        <v>41.38</v>
      </c>
      <c r="D246" s="156" t="n">
        <v>10</v>
      </c>
      <c r="E246" s="157" t="n">
        <v>27.273</v>
      </c>
      <c r="F246" s="157">
        <f>ROUND(E246/C246*G255,3)</f>
        <v/>
      </c>
      <c r="G246" s="155" t="inlineStr">
        <is>
          <t>华大C4-cDNA</t>
        </is>
      </c>
      <c r="H246" s="155" t="inlineStr">
        <is>
          <t>广州世益科技有限公司</t>
        </is>
      </c>
      <c r="I246" s="157" t="n"/>
      <c r="J246" s="155" t="n"/>
      <c r="K246" s="155" t="n"/>
      <c r="L246" s="77" t="n"/>
      <c r="M246" s="77" t="n">
        <v>448</v>
      </c>
      <c r="N246" s="77" t="n">
        <v>41.38</v>
      </c>
      <c r="O246" s="77" t="inlineStr">
        <is>
          <t>华大单barcode文库</t>
        </is>
      </c>
      <c r="P246" s="77" t="inlineStr">
        <is>
          <t>已磷酸化</t>
        </is>
      </c>
      <c r="Q246" s="77" t="inlineStr">
        <is>
          <t>未环化</t>
        </is>
      </c>
    </row>
    <row r="247" ht="30" customFormat="1" customHeight="1" s="28">
      <c r="A247" s="159" t="n"/>
      <c r="B247" s="155" t="inlineStr">
        <is>
          <t>HGC-Lib-26080752</t>
        </is>
      </c>
      <c r="C247" s="155" t="n">
        <v>45.56</v>
      </c>
      <c r="D247" s="156" t="n">
        <v>10</v>
      </c>
      <c r="E247" s="157" t="n">
        <v>27.273</v>
      </c>
      <c r="F247" s="157">
        <f>ROUND(E247/C247*G255,3)</f>
        <v/>
      </c>
      <c r="G247" s="155" t="inlineStr">
        <is>
          <t>华大C4-cDNA</t>
        </is>
      </c>
      <c r="H247" s="155" t="inlineStr">
        <is>
          <t>广州世益科技有限公司</t>
        </is>
      </c>
      <c r="I247" s="157" t="n"/>
      <c r="J247" s="155" t="n"/>
      <c r="K247" s="155" t="n"/>
      <c r="L247" s="77" t="n"/>
      <c r="M247" s="77" t="n">
        <v>455</v>
      </c>
      <c r="N247" s="77" t="n">
        <v>45.56</v>
      </c>
      <c r="O247" s="77" t="inlineStr">
        <is>
          <t>华大单barcode文库</t>
        </is>
      </c>
      <c r="P247" s="77" t="inlineStr">
        <is>
          <t>已磷酸化</t>
        </is>
      </c>
      <c r="Q247" s="77" t="inlineStr">
        <is>
          <t>未环化</t>
        </is>
      </c>
    </row>
    <row r="248" ht="30" customFormat="1" customHeight="1" s="28">
      <c r="A248" s="159" t="n"/>
      <c r="B248" s="155" t="inlineStr">
        <is>
          <t>HGC-Lib-26080753</t>
        </is>
      </c>
      <c r="C248" s="155" t="n">
        <v>46.65</v>
      </c>
      <c r="D248" s="156" t="n">
        <v>10</v>
      </c>
      <c r="E248" s="157" t="n">
        <v>27.273</v>
      </c>
      <c r="F248" s="157">
        <f>ROUND(E248/C248*G255,3)</f>
        <v/>
      </c>
      <c r="G248" s="155" t="inlineStr">
        <is>
          <t>华大C4-cDNA</t>
        </is>
      </c>
      <c r="H248" s="155" t="inlineStr">
        <is>
          <t>广州世益科技有限公司</t>
        </is>
      </c>
      <c r="I248" s="157" t="n"/>
      <c r="J248" s="155" t="n"/>
      <c r="K248" s="155" t="n"/>
      <c r="L248" s="77" t="n"/>
      <c r="M248" s="77" t="n">
        <v>452</v>
      </c>
      <c r="N248" s="77" t="n">
        <v>46.65</v>
      </c>
      <c r="O248" s="77" t="inlineStr">
        <is>
          <t>华大单barcode文库</t>
        </is>
      </c>
      <c r="P248" s="77" t="inlineStr">
        <is>
          <t>已磷酸化</t>
        </is>
      </c>
      <c r="Q248" s="77" t="inlineStr">
        <is>
          <t>未环化</t>
        </is>
      </c>
    </row>
    <row r="249" ht="30" customFormat="1" customHeight="1" s="28">
      <c r="A249" s="159" t="n"/>
      <c r="B249" s="155" t="inlineStr">
        <is>
          <t>HGC-Lib-26080754</t>
        </is>
      </c>
      <c r="C249" s="155" t="n">
        <v>33.84</v>
      </c>
      <c r="D249" s="156" t="n">
        <v>10</v>
      </c>
      <c r="E249" s="157" t="n">
        <v>27.273</v>
      </c>
      <c r="F249" s="157">
        <f>ROUND(E249/C249*G255,3)</f>
        <v/>
      </c>
      <c r="G249" s="155" t="inlineStr">
        <is>
          <t>华大C4-cDNA</t>
        </is>
      </c>
      <c r="H249" s="155" t="inlineStr">
        <is>
          <t>广州世益科技有限公司</t>
        </is>
      </c>
      <c r="I249" s="157" t="n"/>
      <c r="J249" s="155" t="n"/>
      <c r="K249" s="155" t="n"/>
      <c r="L249" s="77" t="n"/>
      <c r="M249" s="77" t="n">
        <v>368</v>
      </c>
      <c r="N249" s="77" t="n">
        <v>33.84</v>
      </c>
      <c r="O249" s="77" t="inlineStr">
        <is>
          <t>华大单barcode文库</t>
        </is>
      </c>
      <c r="P249" s="77" t="inlineStr">
        <is>
          <t>已磷酸化</t>
        </is>
      </c>
      <c r="Q249" s="77" t="inlineStr">
        <is>
          <t>未环化</t>
        </is>
      </c>
    </row>
    <row r="250" ht="30" customFormat="1" customHeight="1" s="28">
      <c r="A250" s="159" t="n"/>
      <c r="B250" s="155" t="inlineStr">
        <is>
          <t>HGC-Lib-26080755</t>
        </is>
      </c>
      <c r="C250" s="155" t="n">
        <v>54.03</v>
      </c>
      <c r="D250" s="156" t="n">
        <v>10</v>
      </c>
      <c r="E250" s="157" t="n">
        <v>27.273</v>
      </c>
      <c r="F250" s="157">
        <f>ROUND(E250/C250*G255,3)</f>
        <v/>
      </c>
      <c r="G250" s="155" t="inlineStr">
        <is>
          <t>华大C4-cDNA</t>
        </is>
      </c>
      <c r="H250" s="155" t="inlineStr">
        <is>
          <t>广州世益科技有限公司</t>
        </is>
      </c>
      <c r="I250" s="157" t="n"/>
      <c r="J250" s="155" t="n"/>
      <c r="K250" s="155" t="n"/>
      <c r="L250" s="77" t="n"/>
      <c r="M250" s="77" t="n">
        <v>449</v>
      </c>
      <c r="N250" s="77" t="n">
        <v>54.03</v>
      </c>
      <c r="O250" s="77" t="inlineStr">
        <is>
          <t>华大单barcode文库</t>
        </is>
      </c>
      <c r="P250" s="77" t="inlineStr">
        <is>
          <t>已磷酸化</t>
        </is>
      </c>
      <c r="Q250" s="77" t="inlineStr">
        <is>
          <t>未环化</t>
        </is>
      </c>
    </row>
    <row r="251" ht="30" customHeight="1" s="80">
      <c r="A251" s="159" t="n"/>
      <c r="B251" s="155" t="inlineStr">
        <is>
          <t>HGC-Lib-26080757</t>
        </is>
      </c>
      <c r="C251" s="155" t="n">
        <v>41.92</v>
      </c>
      <c r="D251" s="156" t="n">
        <v>10</v>
      </c>
      <c r="E251" s="157" t="n">
        <v>27.273</v>
      </c>
      <c r="F251" s="157">
        <f>ROUND(E251/C251*G255,3)</f>
        <v/>
      </c>
      <c r="G251" s="155" t="inlineStr">
        <is>
          <t>华大C4-cDNA</t>
        </is>
      </c>
      <c r="H251" s="155" t="inlineStr">
        <is>
          <t>广州世益科技有限公司</t>
        </is>
      </c>
      <c r="I251" s="157" t="n"/>
      <c r="J251" s="155" t="n"/>
      <c r="K251" s="155" t="n"/>
      <c r="L251" s="77" t="n"/>
      <c r="M251" s="77" t="n">
        <v>456</v>
      </c>
      <c r="N251" s="77" t="n">
        <v>41.92</v>
      </c>
      <c r="O251" s="77" t="inlineStr">
        <is>
          <t>华大单barcode文库</t>
        </is>
      </c>
      <c r="P251" s="77" t="inlineStr">
        <is>
          <t>已磷酸化</t>
        </is>
      </c>
      <c r="Q251" s="77" t="inlineStr">
        <is>
          <t>未环化</t>
        </is>
      </c>
    </row>
    <row r="252" ht="30" customFormat="1" customHeight="1" s="28">
      <c r="A252" s="159" t="n"/>
      <c r="B252" s="155" t="inlineStr">
        <is>
          <t>HGC-Lib-26080759</t>
        </is>
      </c>
      <c r="C252" s="155" t="n">
        <v>46.25</v>
      </c>
      <c r="D252" s="156" t="n">
        <v>10</v>
      </c>
      <c r="E252" s="157" t="n">
        <v>27.273</v>
      </c>
      <c r="F252" s="157">
        <f>ROUND(E252/C252*G255,3)</f>
        <v/>
      </c>
      <c r="G252" s="155" t="inlineStr">
        <is>
          <t>华大C4-cDNA</t>
        </is>
      </c>
      <c r="H252" s="155" t="inlineStr">
        <is>
          <t>广州世益科技有限公司</t>
        </is>
      </c>
      <c r="I252" s="157" t="n"/>
      <c r="J252" s="155" t="n"/>
      <c r="K252" s="155" t="n"/>
      <c r="L252" s="77" t="n"/>
      <c r="M252" s="77" t="n">
        <v>454</v>
      </c>
      <c r="N252" s="77" t="n">
        <v>46.25</v>
      </c>
      <c r="O252" s="77" t="inlineStr">
        <is>
          <t>华大单barcode文库</t>
        </is>
      </c>
      <c r="P252" s="77" t="inlineStr">
        <is>
          <t>已磷酸化</t>
        </is>
      </c>
      <c r="Q252" s="77" t="inlineStr">
        <is>
          <t>未环化</t>
        </is>
      </c>
    </row>
    <row r="253" ht="30" customFormat="1" customHeight="1" s="28">
      <c r="A253" s="159" t="n"/>
      <c r="B253" s="155" t="inlineStr">
        <is>
          <t>HGC-Lib-26080787</t>
        </is>
      </c>
      <c r="C253" s="155" t="n">
        <v>14.4</v>
      </c>
      <c r="D253" s="156" t="n">
        <v>10</v>
      </c>
      <c r="E253" s="157" t="n">
        <v>27.273</v>
      </c>
      <c r="F253" s="157">
        <f>ROUND(E253/C253*G255,3)</f>
        <v/>
      </c>
      <c r="G253" s="155" t="inlineStr">
        <is>
          <t>华大C4-cDNA</t>
        </is>
      </c>
      <c r="H253" s="155" t="inlineStr">
        <is>
          <t>广州世益科技有限公司</t>
        </is>
      </c>
      <c r="I253" s="157" t="n"/>
      <c r="J253" s="155" t="n"/>
      <c r="K253" s="155" t="n"/>
      <c r="L253" s="77" t="n"/>
      <c r="M253" s="77" t="n">
        <v>310</v>
      </c>
      <c r="N253" s="77" t="n">
        <v>14.4</v>
      </c>
      <c r="O253" s="77" t="inlineStr">
        <is>
          <t>华大单barcode文库</t>
        </is>
      </c>
      <c r="P253" s="77" t="inlineStr">
        <is>
          <t>已磷酸化</t>
        </is>
      </c>
      <c r="Q253" s="77" t="inlineStr">
        <is>
          <t>未环化</t>
        </is>
      </c>
    </row>
    <row r="254" ht="30" customFormat="1" customHeight="1" s="28">
      <c r="A254" s="160" t="n"/>
      <c r="B254" s="155" t="inlineStr">
        <is>
          <t>HGC-Lib-26080788</t>
        </is>
      </c>
      <c r="C254" s="155" t="n">
        <v>18.4</v>
      </c>
      <c r="D254" s="156" t="n">
        <v>10</v>
      </c>
      <c r="E254" s="157" t="n">
        <v>27.273</v>
      </c>
      <c r="F254" s="157">
        <f>ROUND(E254/C254*G255,3)</f>
        <v/>
      </c>
      <c r="G254" s="155" t="inlineStr">
        <is>
          <t>华大C4-cDNA</t>
        </is>
      </c>
      <c r="H254" s="155" t="inlineStr">
        <is>
          <t>广州世益科技有限公司</t>
        </is>
      </c>
      <c r="I254" s="157" t="n"/>
      <c r="J254" s="155" t="n"/>
      <c r="K254" s="155" t="n"/>
      <c r="L254" s="77" t="n"/>
      <c r="M254" s="77" t="n">
        <v>370</v>
      </c>
      <c r="N254" s="77" t="n">
        <v>18.4</v>
      </c>
      <c r="O254" s="77" t="inlineStr">
        <is>
          <t>华大单barcode文库</t>
        </is>
      </c>
      <c r="P254" s="77" t="inlineStr">
        <is>
          <t>已磷酸化</t>
        </is>
      </c>
      <c r="Q254" s="77" t="inlineStr">
        <is>
          <t>未环化</t>
        </is>
      </c>
    </row>
    <row r="255" ht="30" customFormat="1" customHeight="1" s="28">
      <c r="A255" s="78" t="n"/>
      <c r="B255" s="78" t="n"/>
      <c r="C255" s="78" t="n"/>
      <c r="D255" s="86">
        <f>ROUND(SUM(D244:D254),2)</f>
        <v/>
      </c>
      <c r="E255" s="87" t="n">
        <v>300.003</v>
      </c>
      <c r="F255" s="87">
        <f>IF(G255&gt;1,ROUND(SUM(F244:F254)/G255*2,3),ROUND(SUM(F244:F254),3))</f>
        <v/>
      </c>
      <c r="G255" s="77" t="n">
        <v>1</v>
      </c>
      <c r="H255" s="78" t="n"/>
      <c r="I255" s="158">
        <f>ROUND(40-F255,3)</f>
        <v/>
      </c>
      <c r="J255" s="78" t="n"/>
      <c r="K255" s="78" t="n"/>
      <c r="L255" s="78" t="n"/>
      <c r="M255" s="77">
        <f>AVERAGE(M244:M254)</f>
        <v/>
      </c>
      <c r="N255" s="78" t="n"/>
      <c r="O255" s="78" t="n"/>
      <c r="P255" s="78" t="n"/>
      <c r="Q255" s="78" t="n"/>
    </row>
    <row r="256" ht="30" customHeight="1" s="80">
      <c r="A256" s="161" t="inlineStr">
        <is>
          <t>B15</t>
        </is>
      </c>
      <c r="B256" s="155" t="inlineStr">
        <is>
          <t>HGC-POOL-26080760</t>
        </is>
      </c>
      <c r="C256" s="155" t="n">
        <v>97.81999999999999</v>
      </c>
      <c r="D256" s="156" t="n">
        <v>10</v>
      </c>
      <c r="E256" s="157" t="n">
        <v>100</v>
      </c>
      <c r="F256" s="157">
        <f>ROUND(E256/C256*G259,3)</f>
        <v/>
      </c>
      <c r="G256" s="155" t="inlineStr">
        <is>
          <t>华大C4-cDNA</t>
        </is>
      </c>
      <c r="H256" s="155" t="inlineStr">
        <is>
          <t>广州世益科技有限公司</t>
        </is>
      </c>
      <c r="I256" s="157" t="n"/>
      <c r="J256" s="155" t="n"/>
      <c r="K256" s="155" t="n"/>
      <c r="L256" s="77" t="n"/>
      <c r="M256" s="77" t="n">
        <v>398</v>
      </c>
      <c r="N256" s="77" t="n">
        <v>97.81999999999999</v>
      </c>
      <c r="O256" s="77" t="inlineStr">
        <is>
          <t>华大单barcode文库</t>
        </is>
      </c>
      <c r="P256" s="77" t="inlineStr">
        <is>
          <t>已磷酸化</t>
        </is>
      </c>
      <c r="Q256" s="77" t="inlineStr">
        <is>
          <t>未环化</t>
        </is>
      </c>
    </row>
    <row r="257" ht="30" customFormat="1" customHeight="1" s="28">
      <c r="A257" s="159" t="n"/>
      <c r="B257" s="155" t="inlineStr">
        <is>
          <t>HGC-POOL-26080767</t>
        </is>
      </c>
      <c r="C257" s="155" t="n">
        <v>84.90000000000001</v>
      </c>
      <c r="D257" s="156" t="n">
        <v>10</v>
      </c>
      <c r="E257" s="157" t="n">
        <v>100</v>
      </c>
      <c r="F257" s="157">
        <f>ROUND(E257/C257*G259,3)</f>
        <v/>
      </c>
      <c r="G257" s="155" t="inlineStr">
        <is>
          <t>华大C4-cDNA</t>
        </is>
      </c>
      <c r="H257" s="155" t="inlineStr">
        <is>
          <t>广州世益科技有限公司</t>
        </is>
      </c>
      <c r="I257" s="157" t="n"/>
      <c r="J257" s="155" t="n"/>
      <c r="K257" s="155" t="n"/>
      <c r="L257" s="77" t="n"/>
      <c r="M257" s="77" t="n">
        <v>402</v>
      </c>
      <c r="N257" s="77" t="n">
        <v>84.90000000000001</v>
      </c>
      <c r="O257" s="77" t="inlineStr">
        <is>
          <t>华大单barcode文库</t>
        </is>
      </c>
      <c r="P257" s="77" t="inlineStr">
        <is>
          <t>已磷酸化</t>
        </is>
      </c>
      <c r="Q257" s="77" t="inlineStr">
        <is>
          <t>未环化</t>
        </is>
      </c>
    </row>
    <row r="258" ht="30" customFormat="1" customHeight="1" s="28">
      <c r="A258" s="160" t="n"/>
      <c r="B258" s="155" t="inlineStr">
        <is>
          <t>HGC-POOL-26080774</t>
        </is>
      </c>
      <c r="C258" s="155" t="n">
        <v>79.8</v>
      </c>
      <c r="D258" s="156" t="n">
        <v>10</v>
      </c>
      <c r="E258" s="157" t="n">
        <v>100</v>
      </c>
      <c r="F258" s="157">
        <f>ROUND(E258/C258*G259,3)</f>
        <v/>
      </c>
      <c r="G258" s="155" t="inlineStr">
        <is>
          <t>华大C4-cDNA</t>
        </is>
      </c>
      <c r="H258" s="155" t="inlineStr">
        <is>
          <t>广州世益科技有限公司</t>
        </is>
      </c>
      <c r="I258" s="157" t="n"/>
      <c r="J258" s="155" t="n"/>
      <c r="K258" s="155" t="n"/>
      <c r="L258" s="77" t="n"/>
      <c r="M258" s="77" t="n">
        <v>383</v>
      </c>
      <c r="N258" s="77" t="n">
        <v>79.8</v>
      </c>
      <c r="O258" s="77" t="inlineStr">
        <is>
          <t>华大单barcode文库</t>
        </is>
      </c>
      <c r="P258" s="77" t="inlineStr">
        <is>
          <t>已磷酸化</t>
        </is>
      </c>
      <c r="Q258" s="77" t="inlineStr">
        <is>
          <t>未环化</t>
        </is>
      </c>
    </row>
    <row r="259" ht="30" customFormat="1" customHeight="1" s="28">
      <c r="A259" s="78" t="n"/>
      <c r="B259" s="78" t="n"/>
      <c r="C259" s="78" t="n"/>
      <c r="D259" s="86">
        <f>ROUND(SUM(D256:D258),2)</f>
        <v/>
      </c>
      <c r="E259" s="87" t="n">
        <v>300</v>
      </c>
      <c r="F259" s="87">
        <f>IF(G259&gt;1,ROUND(SUM(F256:F258)/G259*2,3),ROUND(SUM(F256:F258),3))</f>
        <v/>
      </c>
      <c r="G259" s="77" t="n">
        <v>1</v>
      </c>
      <c r="H259" s="78" t="n"/>
      <c r="I259" s="158">
        <f>ROUND(40-F259,3)</f>
        <v/>
      </c>
      <c r="J259" s="78" t="n"/>
      <c r="K259" s="78" t="n"/>
      <c r="L259" s="78" t="n"/>
      <c r="M259" s="77">
        <f>AVERAGE(M256:M258)</f>
        <v/>
      </c>
      <c r="N259" s="78" t="n"/>
      <c r="O259" s="78" t="n"/>
      <c r="P259" s="78" t="n"/>
      <c r="Q259" s="78" t="n"/>
    </row>
    <row r="260" ht="30" customHeight="1" s="80"/>
    <row r="261" ht="30" customHeight="1" s="80"/>
    <row r="262" ht="30" customHeight="1" s="80"/>
    <row r="263" ht="30" customHeight="1" s="80"/>
    <row r="264" ht="23.25" customHeight="1" s="80"/>
    <row r="265" ht="23.25" customHeight="1" s="80"/>
    <row r="266" ht="23.25" customHeight="1" s="80"/>
    <row r="267" ht="23.25" customHeight="1" s="80"/>
    <row r="268" ht="23.25" customHeight="1" s="80"/>
    <row r="269" ht="23.25" customHeight="1" s="80"/>
    <row r="270" ht="23.25" customHeight="1" s="80"/>
    <row r="271" ht="23.25" customHeight="1" s="80"/>
    <row r="272" ht="23.25" customHeight="1" s="80"/>
    <row r="273" ht="23.25" customHeight="1" s="80"/>
    <row r="274" ht="23.25" customHeight="1" s="80"/>
    <row r="275" ht="23.25" customHeight="1" s="80"/>
    <row r="276" ht="23.25" customHeight="1" s="80"/>
    <row r="277" ht="23.25" customHeight="1" s="80"/>
    <row r="278" ht="23.25" customHeight="1" s="80"/>
    <row r="279" ht="23.25" customHeight="1" s="80"/>
  </sheetData>
  <mergeCells count="12">
    <mergeCell ref="A34:A125"/>
    <mergeCell ref="A222:A233"/>
    <mergeCell ref="A127:A218"/>
    <mergeCell ref="A235:A238"/>
    <mergeCell ref="A21:A28"/>
    <mergeCell ref="A240:A242"/>
    <mergeCell ref="A256:A258"/>
    <mergeCell ref="A244:A254"/>
    <mergeCell ref="A5:A12"/>
    <mergeCell ref="A2:A3"/>
    <mergeCell ref="A14:A16"/>
    <mergeCell ref="A18:A19"/>
  </mergeCells>
  <conditionalFormatting sqref="A1">
    <cfRule type="duplicateValues" priority="33" dxfId="0"/>
  </conditionalFormatting>
  <conditionalFormatting sqref="B1">
    <cfRule type="duplicateValues" priority="32" dxfId="0"/>
    <cfRule type="duplicateValues" priority="34" dxfId="0"/>
  </conditionalFormatting>
  <conditionalFormatting sqref="B2:B1048576">
    <cfRule type="duplicateValues" priority="35" dxfId="0"/>
  </conditionalFormatting>
  <pageMargins left="0.75" right="0.75" top="1" bottom="1" header="0.5" footer="0.5"/>
  <pageSetup orientation="portrait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7"/>
  <sheetViews>
    <sheetView tabSelected="1" zoomScaleNormal="100" workbookViewId="0">
      <selection activeCell="D14" sqref="D14"/>
    </sheetView>
  </sheetViews>
  <sheetFormatPr baseColWidth="8" defaultColWidth="8.75" defaultRowHeight="30" customHeight="1"/>
  <cols>
    <col width="12" customWidth="1" style="27" min="1" max="1"/>
    <col width="21" customWidth="1" style="27" min="2" max="2"/>
    <col width="22" customWidth="1" style="96" min="3" max="3"/>
    <col width="28" customWidth="1" style="96" min="4" max="4"/>
    <col width="22" customWidth="1" style="97" min="5" max="5"/>
    <col width="60" bestFit="1" customWidth="1" style="98" min="6" max="6"/>
    <col width="26" customWidth="1" style="27" min="7" max="7"/>
    <col width="42" customWidth="1" style="27" min="8" max="8"/>
    <col width="27" customWidth="1" style="96" min="9" max="9"/>
    <col width="8" customWidth="1" style="99" min="10" max="10"/>
    <col width="23" customWidth="1" style="99" min="11" max="11"/>
    <col width="43" customWidth="1" style="99" min="12" max="12"/>
    <col width="23" customWidth="1" style="27" min="13" max="13"/>
    <col width="22" bestFit="1" customWidth="1" style="27" min="14" max="14"/>
    <col width="23" customWidth="1" style="27" min="15" max="15"/>
    <col width="12" customWidth="1" style="27" min="16" max="16"/>
    <col width="10" customWidth="1" style="27" min="17" max="17"/>
    <col width="17.25" customWidth="1" style="27" min="18" max="18"/>
    <col width="8.75" customWidth="1" style="27" min="19" max="21"/>
    <col width="9.125" customWidth="1" style="27" min="22" max="22"/>
    <col width="8.75" customWidth="1" style="27" min="23" max="27"/>
    <col width="8.75" customWidth="1" style="27" min="28" max="16384"/>
  </cols>
  <sheetData>
    <row r="1" ht="90" customFormat="1" customHeight="1" s="26">
      <c r="A1" s="61" t="inlineStr">
        <is>
          <t>Lane编号</t>
        </is>
      </c>
      <c r="B1" s="33" t="inlineStr">
        <is>
          <t>文库编号</t>
        </is>
      </c>
      <c r="C1" s="100" t="inlineStr">
        <is>
          <t>Qubit浓度（ng/ul）</t>
        </is>
      </c>
      <c r="D1" s="100" t="inlineStr">
        <is>
          <t>数据量（G)</t>
        </is>
      </c>
      <c r="E1" s="101" t="inlineStr">
        <is>
          <t>文库摩尔质量（nM）</t>
        </is>
      </c>
      <c r="F1" s="102" t="inlineStr">
        <is>
          <t>最终取样体积（ul）</t>
        </is>
      </c>
      <c r="G1" s="33" t="inlineStr">
        <is>
          <t>文库类型</t>
        </is>
      </c>
      <c r="H1" s="103" t="inlineStr">
        <is>
          <t>客户单位</t>
        </is>
      </c>
      <c r="I1" s="104" t="inlineStr">
        <is>
          <t>TE Buffer补充体积（uL）</t>
        </is>
      </c>
      <c r="J1" s="105" t="inlineStr">
        <is>
          <t>孔号</t>
        </is>
      </c>
      <c r="K1" s="105" t="inlineStr">
        <is>
          <t>板号</t>
        </is>
      </c>
      <c r="L1" s="105" t="inlineStr">
        <is>
          <t>备注</t>
        </is>
      </c>
      <c r="M1" s="79" t="inlineStr">
        <is>
          <t>片段</t>
        </is>
      </c>
      <c r="N1" s="63" t="inlineStr">
        <is>
          <t>Qubit浓度（ng/ul）</t>
        </is>
      </c>
      <c r="O1" s="63" t="inlineStr">
        <is>
          <t>文库结构</t>
        </is>
      </c>
      <c r="P1" s="63" t="inlineStr">
        <is>
          <t>磷酸化*</t>
        </is>
      </c>
      <c r="Q1" s="63" t="inlineStr">
        <is>
          <t>环化*</t>
        </is>
      </c>
    </row>
    <row r="2" ht="30" customHeight="1" s="80">
      <c r="A2" s="155" t="inlineStr">
        <is>
          <t>C1</t>
        </is>
      </c>
      <c r="B2" s="155" t="inlineStr">
        <is>
          <t>HGC-Lib-26083195</t>
        </is>
      </c>
      <c r="C2" s="155" t="n">
        <v>83.34999999999999</v>
      </c>
      <c r="D2" s="156" t="n">
        <v>18.31</v>
      </c>
      <c r="E2" s="157" t="n">
        <v>13.844</v>
      </c>
      <c r="F2" s="157">
        <f>ROUND(E2/C2*G7,3)</f>
        <v/>
      </c>
      <c r="G2" s="155" t="inlineStr">
        <is>
          <t>10X-3-转录组</t>
        </is>
      </c>
      <c r="H2" s="155" t="inlineStr">
        <is>
          <t>广州奥智生物科技有限公司</t>
        </is>
      </c>
      <c r="I2" s="157" t="n"/>
      <c r="J2" s="155" t="n"/>
      <c r="K2" s="155" t="n"/>
      <c r="L2" s="77" t="inlineStr">
        <is>
          <t>补测_260709_R21016100250033_ML150008997</t>
        </is>
      </c>
      <c r="M2" s="77" t="n"/>
      <c r="N2" s="77" t="n">
        <v>83.34999999999999</v>
      </c>
      <c r="O2" s="77" t="inlineStr">
        <is>
          <t>Illumina Truseq文库</t>
        </is>
      </c>
      <c r="P2" s="77" t="inlineStr">
        <is>
          <t>未磷酸化</t>
        </is>
      </c>
      <c r="Q2" s="77" t="inlineStr">
        <is>
          <t>未环化</t>
        </is>
      </c>
    </row>
    <row r="3" ht="30" customHeight="1" s="80">
      <c r="A3" s="159" t="n"/>
      <c r="B3" s="155" t="inlineStr">
        <is>
          <t>HGC-Lib-26083196</t>
        </is>
      </c>
      <c r="C3" s="155" t="n">
        <v>60.78</v>
      </c>
      <c r="D3" s="156" t="n">
        <v>8.98</v>
      </c>
      <c r="E3" s="157" t="n">
        <v>6.79</v>
      </c>
      <c r="F3" s="157">
        <f>ROUND(E3/C3*G7,3)</f>
        <v/>
      </c>
      <c r="G3" s="155" t="inlineStr">
        <is>
          <t>10X-3-转录组</t>
        </is>
      </c>
      <c r="H3" s="155" t="inlineStr">
        <is>
          <t>广州奥智生物科技有限公司</t>
        </is>
      </c>
      <c r="I3" s="157" t="n"/>
      <c r="J3" s="155" t="n"/>
      <c r="K3" s="155" t="n"/>
      <c r="L3" s="77" t="inlineStr">
        <is>
          <t>补测_260709_R21016100250033_ML150008997</t>
        </is>
      </c>
      <c r="M3" s="77" t="n"/>
      <c r="N3" s="77" t="n">
        <v>60.78</v>
      </c>
      <c r="O3" s="77" t="inlineStr">
        <is>
          <t>Illumina Truseq文库</t>
        </is>
      </c>
      <c r="P3" s="77" t="inlineStr">
        <is>
          <t>未磷酸化</t>
        </is>
      </c>
      <c r="Q3" s="77" t="inlineStr">
        <is>
          <t>未环化</t>
        </is>
      </c>
    </row>
    <row r="4" ht="30" customHeight="1" s="80">
      <c r="A4" s="159" t="n"/>
      <c r="B4" s="155" t="inlineStr">
        <is>
          <t>HGC-Lib-26083198</t>
        </is>
      </c>
      <c r="C4" s="155" t="n">
        <v>56.59</v>
      </c>
      <c r="D4" s="156" t="n">
        <v>4.78</v>
      </c>
      <c r="E4" s="157" t="n">
        <v>3.614</v>
      </c>
      <c r="F4" s="157">
        <f>ROUND(E4/C4*G7,3)</f>
        <v/>
      </c>
      <c r="G4" s="155" t="inlineStr">
        <is>
          <t>10X-3-转录组</t>
        </is>
      </c>
      <c r="H4" s="155" t="inlineStr">
        <is>
          <t>广州奥智生物科技有限公司</t>
        </is>
      </c>
      <c r="I4" s="157" t="n"/>
      <c r="J4" s="155" t="n"/>
      <c r="K4" s="155" t="n"/>
      <c r="L4" s="77" t="inlineStr">
        <is>
          <t>补测_260709_R21016100250033_ML150008997</t>
        </is>
      </c>
      <c r="M4" s="77" t="n"/>
      <c r="N4" s="77" t="n">
        <v>56.59</v>
      </c>
      <c r="O4" s="77" t="inlineStr">
        <is>
          <t>Illumina Truseq文库</t>
        </is>
      </c>
      <c r="P4" s="77" t="inlineStr">
        <is>
          <t>未磷酸化</t>
        </is>
      </c>
      <c r="Q4" s="77" t="inlineStr">
        <is>
          <t>未环化</t>
        </is>
      </c>
    </row>
    <row r="5" ht="30" customHeight="1" s="80">
      <c r="A5" s="159" t="n"/>
      <c r="B5" s="155" t="inlineStr">
        <is>
          <t>HGC-Lib-26083231</t>
        </is>
      </c>
      <c r="C5" s="155" t="n">
        <v>61.91</v>
      </c>
      <c r="D5" s="156" t="n">
        <v>7.67</v>
      </c>
      <c r="E5" s="157" t="n">
        <v>5.799</v>
      </c>
      <c r="F5" s="157">
        <f>ROUND(E5/C5*G7,3)</f>
        <v/>
      </c>
      <c r="G5" s="155" t="inlineStr">
        <is>
          <t>10X-3-转录组</t>
        </is>
      </c>
      <c r="H5" s="155" t="inlineStr">
        <is>
          <t>广州奥智生物科技有限公司</t>
        </is>
      </c>
      <c r="I5" s="157" t="n"/>
      <c r="J5" s="155" t="n"/>
      <c r="K5" s="155" t="n"/>
      <c r="L5" s="77" t="inlineStr">
        <is>
          <t>补测_260709_R21016100250033_ML150008997</t>
        </is>
      </c>
      <c r="M5" s="77" t="n"/>
      <c r="N5" s="77" t="n">
        <v>61.91</v>
      </c>
      <c r="O5" s="77" t="inlineStr">
        <is>
          <t>Illumina Truseq文库</t>
        </is>
      </c>
      <c r="P5" s="77" t="inlineStr">
        <is>
          <t>未磷酸化</t>
        </is>
      </c>
      <c r="Q5" s="77" t="inlineStr">
        <is>
          <t>未环化</t>
        </is>
      </c>
    </row>
    <row r="6" ht="30" customHeight="1" s="80">
      <c r="A6" s="160" t="n"/>
      <c r="B6" s="155" t="inlineStr">
        <is>
          <t>HGC-Lib-26083233</t>
        </is>
      </c>
      <c r="C6" s="155" t="n">
        <v>65.12</v>
      </c>
      <c r="D6" s="156" t="n">
        <v>26.39</v>
      </c>
      <c r="E6" s="157" t="n">
        <v>19.953</v>
      </c>
      <c r="F6" s="157">
        <f>ROUND(E6/C6*G7,3)</f>
        <v/>
      </c>
      <c r="G6" s="155" t="inlineStr">
        <is>
          <t>10X-3-转录组</t>
        </is>
      </c>
      <c r="H6" s="155" t="inlineStr">
        <is>
          <t>广州奥智生物科技有限公司</t>
        </is>
      </c>
      <c r="I6" s="157" t="n"/>
      <c r="J6" s="155" t="n"/>
      <c r="K6" s="155" t="n"/>
      <c r="L6" s="77" t="inlineStr">
        <is>
          <t>补测_260709_R21016100250033_ML150008997</t>
        </is>
      </c>
      <c r="M6" s="77" t="n"/>
      <c r="N6" s="77" t="n">
        <v>65.12</v>
      </c>
      <c r="O6" s="77" t="inlineStr">
        <is>
          <t>Illumina Truseq文库</t>
        </is>
      </c>
      <c r="P6" s="77" t="inlineStr">
        <is>
          <t>未磷酸化</t>
        </is>
      </c>
      <c r="Q6" s="77" t="inlineStr">
        <is>
          <t>未环化</t>
        </is>
      </c>
    </row>
    <row r="7" ht="30" customHeight="1" s="80">
      <c r="A7" s="78" t="n"/>
      <c r="B7" s="78" t="n"/>
      <c r="C7" s="78" t="n"/>
      <c r="D7" s="86">
        <f>ROUND(SUM(D2:D6),2)</f>
        <v/>
      </c>
      <c r="E7" s="87" t="n">
        <v>50</v>
      </c>
      <c r="F7" s="87">
        <f>IF(G7&gt;1,ROUND(SUM(F2:F6)/G7*2,3),ROUND(SUM(F2:F6),3))</f>
        <v/>
      </c>
      <c r="G7" s="77" t="n">
        <v>8</v>
      </c>
      <c r="H7" s="78" t="n"/>
      <c r="I7" s="158">
        <f>ROUND(20-F7,3)</f>
        <v/>
      </c>
      <c r="J7" s="78" t="n"/>
      <c r="K7" s="78" t="n"/>
      <c r="L7" s="78" t="n"/>
      <c r="M7" s="77">
        <f>AVERAGE(M2:M6)</f>
        <v/>
      </c>
      <c r="N7" s="78" t="n"/>
      <c r="O7" s="78" t="n"/>
      <c r="P7" s="78" t="n"/>
      <c r="Q7" s="78" t="n"/>
    </row>
    <row r="8" ht="30" customHeight="1" s="80">
      <c r="A8" s="155" t="inlineStr">
        <is>
          <t>C2</t>
        </is>
      </c>
      <c r="B8" s="155" t="inlineStr">
        <is>
          <t>HGC-Lib-26083199</t>
        </is>
      </c>
      <c r="C8" s="155" t="n">
        <v>38.85</v>
      </c>
      <c r="D8" s="156" t="n">
        <v>17.01</v>
      </c>
      <c r="E8" s="157" t="n">
        <v>50</v>
      </c>
      <c r="F8" s="157">
        <f>ROUND(E8/C8*G9,3)</f>
        <v/>
      </c>
      <c r="G8" s="155" t="inlineStr">
        <is>
          <t>10X-3-转录组</t>
        </is>
      </c>
      <c r="H8" s="155" t="inlineStr">
        <is>
          <t>广州奥智生物科技有限公司</t>
        </is>
      </c>
      <c r="I8" s="157" t="n"/>
      <c r="J8" s="155" t="n"/>
      <c r="K8" s="155" t="n"/>
      <c r="L8" s="77" t="inlineStr">
        <is>
          <t>补测_260709_R21016100250033_ML150008997</t>
        </is>
      </c>
      <c r="M8" s="77" t="n"/>
      <c r="N8" s="77" t="n">
        <v>38.85</v>
      </c>
      <c r="O8" s="77" t="inlineStr">
        <is>
          <t>Illumina Truseq文库</t>
        </is>
      </c>
      <c r="P8" s="77" t="inlineStr">
        <is>
          <t>未磷酸化</t>
        </is>
      </c>
      <c r="Q8" s="77" t="inlineStr">
        <is>
          <t>未环化</t>
        </is>
      </c>
    </row>
    <row r="9" ht="30" customHeight="1" s="80">
      <c r="A9" s="78" t="n"/>
      <c r="B9" s="78" t="n"/>
      <c r="C9" s="78" t="n"/>
      <c r="D9" s="86">
        <f>ROUND(SUM(D8:D8),2)</f>
        <v/>
      </c>
      <c r="E9" s="87" t="n">
        <v>50</v>
      </c>
      <c r="F9" s="87">
        <f>IF(G9&gt;1,ROUND(SUM(F8:F8)/G9*2,3),ROUND(SUM(F8:F8),3))</f>
        <v/>
      </c>
      <c r="G9" s="77" t="n">
        <v>1</v>
      </c>
      <c r="H9" s="78" t="n"/>
      <c r="I9" s="158">
        <f>ROUND(20-F9,3)</f>
        <v/>
      </c>
      <c r="J9" s="78" t="n"/>
      <c r="K9" s="78" t="n"/>
      <c r="L9" s="78" t="n"/>
      <c r="M9" s="77">
        <f>AVERAGE(M8:M8)</f>
        <v/>
      </c>
      <c r="N9" s="78" t="n"/>
      <c r="O9" s="78" t="n"/>
      <c r="P9" s="78" t="n"/>
      <c r="Q9" s="78" t="n"/>
    </row>
    <row r="10" ht="30" customHeight="1" s="80">
      <c r="A10" s="155" t="inlineStr">
        <is>
          <t>C3</t>
        </is>
      </c>
      <c r="B10" s="155" t="inlineStr">
        <is>
          <t>HGC-Lib-26084779</t>
        </is>
      </c>
      <c r="C10" s="155" t="n">
        <v>32.19</v>
      </c>
      <c r="D10" s="156" t="n">
        <v>5</v>
      </c>
      <c r="E10" s="157" t="n">
        <v>5.556</v>
      </c>
      <c r="F10" s="157">
        <f>ROUND(E10/C10*G19,3)</f>
        <v/>
      </c>
      <c r="G10" s="155" t="inlineStr">
        <is>
          <t>无参转录组（RNA-seq）</t>
        </is>
      </c>
      <c r="H10" s="155" t="inlineStr">
        <is>
          <t>广州奥智生物科技有限公司</t>
        </is>
      </c>
      <c r="I10" s="157" t="n"/>
      <c r="J10" s="155" t="n"/>
      <c r="K10" s="155" t="inlineStr">
        <is>
          <t>26.7.8-5-BGI_A10</t>
        </is>
      </c>
      <c r="L10" s="77" t="n"/>
      <c r="M10" s="77" t="n"/>
      <c r="N10" s="77" t="n">
        <v>32.19</v>
      </c>
      <c r="O10" s="77" t="n"/>
      <c r="P10" s="77" t="n"/>
      <c r="Q10" s="77" t="n"/>
    </row>
    <row r="11" ht="30" customHeight="1" s="80">
      <c r="A11" s="159" t="n"/>
      <c r="B11" s="155" t="inlineStr">
        <is>
          <t>HGC-Lib-26084780</t>
        </is>
      </c>
      <c r="C11" s="155" t="n">
        <v>40</v>
      </c>
      <c r="D11" s="156" t="n">
        <v>5</v>
      </c>
      <c r="E11" s="157" t="n">
        <v>5.556</v>
      </c>
      <c r="F11" s="157">
        <f>ROUND(E11/C11*G19,3)</f>
        <v/>
      </c>
      <c r="G11" s="155" t="inlineStr">
        <is>
          <t>无参转录组（RNA-seq）</t>
        </is>
      </c>
      <c r="H11" s="155" t="inlineStr">
        <is>
          <t>广州奥智生物科技有限公司</t>
        </is>
      </c>
      <c r="I11" s="157" t="n"/>
      <c r="J11" s="155" t="n"/>
      <c r="K11" s="155" t="inlineStr">
        <is>
          <t>26.7.8-5-BGI_A11</t>
        </is>
      </c>
      <c r="L11" s="77" t="n"/>
      <c r="M11" s="77" t="n"/>
      <c r="N11" s="77" t="n">
        <v>40</v>
      </c>
      <c r="O11" s="77" t="n"/>
      <c r="P11" s="77" t="n"/>
      <c r="Q11" s="77" t="n"/>
    </row>
    <row r="12" ht="30" customHeight="1" s="80">
      <c r="A12" s="159" t="n"/>
      <c r="B12" s="155" t="inlineStr">
        <is>
          <t>HGC-Lib-26084781</t>
        </is>
      </c>
      <c r="C12" s="155" t="n">
        <v>48.37</v>
      </c>
      <c r="D12" s="156" t="n">
        <v>5</v>
      </c>
      <c r="E12" s="157" t="n">
        <v>5.556</v>
      </c>
      <c r="F12" s="157">
        <f>ROUND(E12/C12*G19,3)</f>
        <v/>
      </c>
      <c r="G12" s="155" t="inlineStr">
        <is>
          <t>无参转录组（RNA-seq）</t>
        </is>
      </c>
      <c r="H12" s="155" t="inlineStr">
        <is>
          <t>广州奥智生物科技有限公司</t>
        </is>
      </c>
      <c r="I12" s="157" t="n"/>
      <c r="J12" s="155" t="n"/>
      <c r="K12" s="155" t="inlineStr">
        <is>
          <t>26.7.8-5-BGI_A12</t>
        </is>
      </c>
      <c r="L12" s="77" t="n"/>
      <c r="M12" s="77" t="n"/>
      <c r="N12" s="77" t="n">
        <v>48.37</v>
      </c>
      <c r="O12" s="77" t="n"/>
      <c r="P12" s="77" t="n"/>
      <c r="Q12" s="77" t="n"/>
    </row>
    <row r="13" ht="30" customHeight="1" s="80">
      <c r="A13" s="159" t="n"/>
      <c r="B13" s="155" t="inlineStr">
        <is>
          <t>HGC-Lib-26084776</t>
        </is>
      </c>
      <c r="C13" s="155" t="n">
        <v>70.31</v>
      </c>
      <c r="D13" s="156" t="n">
        <v>5</v>
      </c>
      <c r="E13" s="157" t="n">
        <v>5.556</v>
      </c>
      <c r="F13" s="157">
        <f>ROUND(E13/C13*G19,3)</f>
        <v/>
      </c>
      <c r="G13" s="155" t="inlineStr">
        <is>
          <t>无参转录组（RNA-seq）</t>
        </is>
      </c>
      <c r="H13" s="155" t="inlineStr">
        <is>
          <t>广州奥智生物科技有限公司</t>
        </is>
      </c>
      <c r="I13" s="157" t="n"/>
      <c r="J13" s="155" t="n"/>
      <c r="K13" s="155" t="inlineStr">
        <is>
          <t>26.7.8-5-BGI_A7</t>
        </is>
      </c>
      <c r="L13" s="77" t="n"/>
      <c r="M13" s="77" t="n"/>
      <c r="N13" s="77" t="n">
        <v>70.31</v>
      </c>
      <c r="O13" s="77" t="n"/>
      <c r="P13" s="77" t="n"/>
      <c r="Q13" s="77" t="n"/>
    </row>
    <row r="14" ht="30" customHeight="1" s="80">
      <c r="A14" s="159" t="n"/>
      <c r="B14" s="155" t="inlineStr">
        <is>
          <t>HGC-Lib-26084777</t>
        </is>
      </c>
      <c r="C14" s="155" t="n">
        <v>53.23</v>
      </c>
      <c r="D14" s="156" t="n">
        <v>5</v>
      </c>
      <c r="E14" s="157" t="n">
        <v>5.556</v>
      </c>
      <c r="F14" s="157">
        <f>ROUND(E14/C14*G19,3)</f>
        <v/>
      </c>
      <c r="G14" s="155" t="inlineStr">
        <is>
          <t>无参转录组（RNA-seq）</t>
        </is>
      </c>
      <c r="H14" s="155" t="inlineStr">
        <is>
          <t>广州奥智生物科技有限公司</t>
        </is>
      </c>
      <c r="I14" s="157" t="n"/>
      <c r="J14" s="155" t="n"/>
      <c r="K14" s="155" t="inlineStr">
        <is>
          <t>26.7.8-5-BGI_A8</t>
        </is>
      </c>
      <c r="L14" s="77" t="n"/>
      <c r="M14" s="77" t="n"/>
      <c r="N14" s="77" t="n">
        <v>53.23</v>
      </c>
      <c r="O14" s="77" t="n"/>
      <c r="P14" s="77" t="n"/>
      <c r="Q14" s="77" t="n"/>
    </row>
    <row r="15" ht="30" customHeight="1" s="80">
      <c r="A15" s="159" t="n"/>
      <c r="B15" s="155" t="inlineStr">
        <is>
          <t>HGC-Lib-26084778</t>
        </is>
      </c>
      <c r="C15" s="155" t="n">
        <v>66.62</v>
      </c>
      <c r="D15" s="156" t="n">
        <v>5</v>
      </c>
      <c r="E15" s="157" t="n">
        <v>5.556</v>
      </c>
      <c r="F15" s="157">
        <f>ROUND(E15/C15*G19,3)</f>
        <v/>
      </c>
      <c r="G15" s="155" t="inlineStr">
        <is>
          <t>无参转录组（RNA-seq）</t>
        </is>
      </c>
      <c r="H15" s="155" t="inlineStr">
        <is>
          <t>广州奥智生物科技有限公司</t>
        </is>
      </c>
      <c r="I15" s="157" t="n"/>
      <c r="J15" s="155" t="n"/>
      <c r="K15" s="155" t="inlineStr">
        <is>
          <t>26.7.8-5-BGI_A9</t>
        </is>
      </c>
      <c r="L15" s="77" t="n"/>
      <c r="M15" s="77" t="n"/>
      <c r="N15" s="77" t="n">
        <v>66.62</v>
      </c>
      <c r="O15" s="77" t="n"/>
      <c r="P15" s="77" t="n"/>
      <c r="Q15" s="77" t="n"/>
    </row>
    <row r="16" ht="30" customHeight="1" s="80">
      <c r="A16" s="159" t="n"/>
      <c r="B16" s="155" t="inlineStr">
        <is>
          <t>HGC-Lib-26084782</t>
        </is>
      </c>
      <c r="C16" s="155" t="n">
        <v>22.14</v>
      </c>
      <c r="D16" s="156" t="n">
        <v>5</v>
      </c>
      <c r="E16" s="157" t="n">
        <v>5.556</v>
      </c>
      <c r="F16" s="157">
        <f>ROUND(E16/C16*G19,3)</f>
        <v/>
      </c>
      <c r="G16" s="155" t="inlineStr">
        <is>
          <t>无参转录组（RNA-seq）</t>
        </is>
      </c>
      <c r="H16" s="155" t="inlineStr">
        <is>
          <t>广州奥智生物科技有限公司</t>
        </is>
      </c>
      <c r="I16" s="157" t="n"/>
      <c r="J16" s="155" t="n"/>
      <c r="K16" s="155" t="inlineStr">
        <is>
          <t>26.7.8-5-BGI_B1</t>
        </is>
      </c>
      <c r="L16" s="77" t="n"/>
      <c r="M16" s="77" t="n"/>
      <c r="N16" s="77" t="n">
        <v>22.14</v>
      </c>
      <c r="O16" s="77" t="n"/>
      <c r="P16" s="77" t="n"/>
      <c r="Q16" s="77" t="n"/>
    </row>
    <row r="17" ht="30" customHeight="1" s="80">
      <c r="A17" s="159" t="n"/>
      <c r="B17" s="155" t="inlineStr">
        <is>
          <t>HGC-Lib-26084783</t>
        </is>
      </c>
      <c r="C17" s="155" t="n">
        <v>24.07</v>
      </c>
      <c r="D17" s="156" t="n">
        <v>5</v>
      </c>
      <c r="E17" s="157" t="n">
        <v>5.556</v>
      </c>
      <c r="F17" s="157">
        <f>ROUND(E17/C17*G19,3)</f>
        <v/>
      </c>
      <c r="G17" s="155" t="inlineStr">
        <is>
          <t>无参转录组（RNA-seq）</t>
        </is>
      </c>
      <c r="H17" s="155" t="inlineStr">
        <is>
          <t>广州奥智生物科技有限公司</t>
        </is>
      </c>
      <c r="I17" s="157" t="n"/>
      <c r="J17" s="155" t="n"/>
      <c r="K17" s="155" t="inlineStr">
        <is>
          <t>26.7.8-5-BGI_B2</t>
        </is>
      </c>
      <c r="L17" s="77" t="n"/>
      <c r="M17" s="77" t="n"/>
      <c r="N17" s="77" t="n">
        <v>24.07</v>
      </c>
      <c r="O17" s="77" t="n"/>
      <c r="P17" s="77" t="n"/>
      <c r="Q17" s="77" t="n"/>
    </row>
    <row r="18" ht="30" customHeight="1" s="80">
      <c r="A18" s="160" t="n"/>
      <c r="B18" s="155" t="inlineStr">
        <is>
          <t>HGC-Lib-26084784</t>
        </is>
      </c>
      <c r="C18" s="155" t="n">
        <v>27.47</v>
      </c>
      <c r="D18" s="156" t="n">
        <v>5</v>
      </c>
      <c r="E18" s="157" t="n">
        <v>5.556</v>
      </c>
      <c r="F18" s="157">
        <f>ROUND(E18/C18*G19,3)</f>
        <v/>
      </c>
      <c r="G18" s="155" t="inlineStr">
        <is>
          <t>无参转录组（RNA-seq）</t>
        </is>
      </c>
      <c r="H18" s="155" t="inlineStr">
        <is>
          <t>广州奥智生物科技有限公司</t>
        </is>
      </c>
      <c r="I18" s="157" t="n"/>
      <c r="J18" s="155" t="n"/>
      <c r="K18" s="155" t="inlineStr">
        <is>
          <t>26.7.8-5-BGI_B3</t>
        </is>
      </c>
      <c r="L18" s="77" t="n"/>
      <c r="M18" s="77" t="n"/>
      <c r="N18" s="77" t="n">
        <v>27.47</v>
      </c>
      <c r="O18" s="77" t="n"/>
      <c r="P18" s="77" t="n"/>
      <c r="Q18" s="77" t="n"/>
    </row>
    <row r="19" ht="30" customHeight="1" s="80">
      <c r="A19" s="78" t="n"/>
      <c r="B19" s="78" t="n"/>
      <c r="C19" s="78" t="n"/>
      <c r="D19" s="86">
        <f>ROUND(SUM(D10:D18),2)</f>
        <v/>
      </c>
      <c r="E19" s="87" t="n">
        <v>50.004</v>
      </c>
      <c r="F19" s="87">
        <f>IF(G19&gt;1,ROUND(SUM(F10:F18)/G19*2,3),ROUND(SUM(F10:F18),3))</f>
        <v/>
      </c>
      <c r="G19" s="77" t="n">
        <v>7</v>
      </c>
      <c r="H19" s="78" t="n"/>
      <c r="I19" s="158">
        <f>ROUND(20-F19,3)</f>
        <v/>
      </c>
      <c r="J19" s="78" t="n"/>
      <c r="K19" s="78" t="n"/>
      <c r="L19" s="78" t="n"/>
      <c r="M19" s="77">
        <f>AVERAGE(M10:M18)</f>
        <v/>
      </c>
      <c r="N19" s="78" t="n"/>
      <c r="O19" s="78" t="n"/>
      <c r="P19" s="78" t="n"/>
      <c r="Q19" s="78" t="n"/>
    </row>
    <row r="20" ht="30" customHeight="1" s="80">
      <c r="A20" s="155" t="inlineStr">
        <is>
          <t>C4</t>
        </is>
      </c>
      <c r="B20" s="155" t="inlineStr">
        <is>
          <t>HGC-Lib-26079998</t>
        </is>
      </c>
      <c r="C20" s="155" t="n">
        <v>11.6</v>
      </c>
      <c r="D20" s="156" t="n">
        <v>0.6899999999999999</v>
      </c>
      <c r="E20" s="157" t="n">
        <v>0.32</v>
      </c>
      <c r="F20" s="157">
        <f>ROUND(E20/C20*G44,3)</f>
        <v/>
      </c>
      <c r="G20" s="155" t="inlineStr">
        <is>
          <t>有参转录组（RNA-seq）</t>
        </is>
      </c>
      <c r="H20" s="155" t="inlineStr">
        <is>
          <t>广州奥智生物科技有限公司</t>
        </is>
      </c>
      <c r="I20" s="157" t="n"/>
      <c r="J20" s="155" t="n"/>
      <c r="K20" s="155" t="inlineStr">
        <is>
          <t>26.6.29-3-BGI_D3</t>
        </is>
      </c>
      <c r="L20" s="77" t="inlineStr">
        <is>
          <t>补测_260709_R21016100250033_ML150008997</t>
        </is>
      </c>
      <c r="M20" s="77" t="n"/>
      <c r="N20" s="77" t="n">
        <v>11.6</v>
      </c>
      <c r="O20" s="77" t="inlineStr">
        <is>
          <t>Illumina Truseq文库</t>
        </is>
      </c>
      <c r="P20" s="77" t="inlineStr">
        <is>
          <t>未磷酸化</t>
        </is>
      </c>
      <c r="Q20" s="77" t="inlineStr">
        <is>
          <t>未环化</t>
        </is>
      </c>
    </row>
    <row r="21" ht="30" customHeight="1" s="80">
      <c r="A21" s="159" t="n"/>
      <c r="B21" s="155" t="inlineStr">
        <is>
          <t>HGC-Lib-26082521</t>
        </is>
      </c>
      <c r="C21" s="155" t="n">
        <v>46.58</v>
      </c>
      <c r="D21" s="156" t="n">
        <v>1</v>
      </c>
      <c r="E21" s="157" t="n">
        <v>0.464</v>
      </c>
      <c r="F21" s="157">
        <f>ROUND(E21/C21*G44,3)</f>
        <v/>
      </c>
      <c r="G21" s="155" t="inlineStr">
        <is>
          <t>有参转录组（RNA-seq）</t>
        </is>
      </c>
      <c r="H21" s="155" t="inlineStr">
        <is>
          <t>广州奥智生物科技有限公司</t>
        </is>
      </c>
      <c r="I21" s="157" t="n"/>
      <c r="J21" s="155" t="n"/>
      <c r="K21" s="165" t="inlineStr">
        <is>
          <t>26.7.1-3-白-BGI_C11</t>
        </is>
      </c>
      <c r="L21" s="77" t="inlineStr">
        <is>
          <t>加测_260707_R21016100250033_ML150009047</t>
        </is>
      </c>
      <c r="M21" s="77" t="n"/>
      <c r="N21" s="77" t="n">
        <v>46.58</v>
      </c>
      <c r="O21" s="77" t="inlineStr">
        <is>
          <t>Illumina Truseq文库</t>
        </is>
      </c>
      <c r="P21" s="77" t="inlineStr">
        <is>
          <t>未磷酸化</t>
        </is>
      </c>
      <c r="Q21" s="77" t="inlineStr">
        <is>
          <t>未环化</t>
        </is>
      </c>
    </row>
    <row r="22" ht="30" customHeight="1" s="80">
      <c r="A22" s="159" t="n"/>
      <c r="B22" s="155" t="inlineStr">
        <is>
          <t>HGC-Lib-26082548</t>
        </is>
      </c>
      <c r="C22" s="155" t="n">
        <v>32.42</v>
      </c>
      <c r="D22" s="156" t="n">
        <v>1</v>
      </c>
      <c r="E22" s="157" t="n">
        <v>0.464</v>
      </c>
      <c r="F22" s="157">
        <f>ROUND(E22/C22*G44,3)</f>
        <v/>
      </c>
      <c r="G22" s="155" t="inlineStr">
        <is>
          <t>有参转录组（RNA-seq）</t>
        </is>
      </c>
      <c r="H22" s="155" t="inlineStr">
        <is>
          <t>广州奥智生物科技有限公司</t>
        </is>
      </c>
      <c r="I22" s="157" t="n"/>
      <c r="J22" s="155" t="n"/>
      <c r="K22" s="155" t="inlineStr">
        <is>
          <t>26.7.3-3-BGI_H11</t>
        </is>
      </c>
      <c r="L22" s="77" t="inlineStr">
        <is>
          <t>加测_260707_R21016100250033_ML150009047</t>
        </is>
      </c>
      <c r="M22" s="77" t="n"/>
      <c r="N22" s="77" t="n">
        <v>32.42</v>
      </c>
      <c r="O22" s="77" t="inlineStr">
        <is>
          <t>Illumina Truseq文库</t>
        </is>
      </c>
      <c r="P22" s="77" t="inlineStr">
        <is>
          <t>未磷酸化</t>
        </is>
      </c>
      <c r="Q22" s="77" t="inlineStr">
        <is>
          <t>未环化</t>
        </is>
      </c>
    </row>
    <row r="23" ht="30" customHeight="1" s="80">
      <c r="A23" s="159" t="n"/>
      <c r="B23" s="155" t="inlineStr">
        <is>
          <t>HGC-Lib-26084804</t>
        </is>
      </c>
      <c r="C23" s="155" t="n">
        <v>59.29</v>
      </c>
      <c r="D23" s="156" t="n">
        <v>5</v>
      </c>
      <c r="E23" s="157" t="n">
        <v>2.321</v>
      </c>
      <c r="F23" s="157">
        <f>ROUND(E23/C23*G44,3)</f>
        <v/>
      </c>
      <c r="G23" s="155" t="inlineStr">
        <is>
          <t>有参转录组（RNA-seq）</t>
        </is>
      </c>
      <c r="H23" s="155" t="inlineStr">
        <is>
          <t>广州奥智生物科技有限公司</t>
        </is>
      </c>
      <c r="I23" s="157" t="n"/>
      <c r="J23" s="155" t="n"/>
      <c r="K23" s="165" t="inlineStr">
        <is>
          <t>26.7.7-ZM_A2</t>
        </is>
      </c>
      <c r="L23" s="77" t="n"/>
      <c r="M23" s="77" t="n"/>
      <c r="N23" s="77" t="n">
        <v>59.29</v>
      </c>
      <c r="O23" s="77" t="n"/>
      <c r="P23" s="77" t="n"/>
      <c r="Q23" s="77" t="n"/>
    </row>
    <row r="24" ht="30" customHeight="1" s="80">
      <c r="A24" s="159" t="n"/>
      <c r="B24" s="155" t="inlineStr">
        <is>
          <t>HGC-Lib-26084805</t>
        </is>
      </c>
      <c r="C24" s="155" t="n">
        <v>52.42</v>
      </c>
      <c r="D24" s="156" t="n">
        <v>5</v>
      </c>
      <c r="E24" s="157" t="n">
        <v>2.321</v>
      </c>
      <c r="F24" s="157">
        <f>ROUND(E24/C24*G44,3)</f>
        <v/>
      </c>
      <c r="G24" s="155" t="inlineStr">
        <is>
          <t>有参转录组（RNA-seq）</t>
        </is>
      </c>
      <c r="H24" s="155" t="inlineStr">
        <is>
          <t>广州奥智生物科技有限公司</t>
        </is>
      </c>
      <c r="I24" s="157" t="n"/>
      <c r="J24" s="155" t="n"/>
      <c r="K24" s="165" t="inlineStr">
        <is>
          <t>26.7.7-ZM_A3</t>
        </is>
      </c>
      <c r="L24" s="77" t="n"/>
      <c r="M24" s="77" t="n"/>
      <c r="N24" s="77" t="n">
        <v>52.42</v>
      </c>
      <c r="O24" s="77" t="n"/>
      <c r="P24" s="77" t="n"/>
      <c r="Q24" s="77" t="n"/>
    </row>
    <row r="25" ht="30" customHeight="1" s="80">
      <c r="A25" s="159" t="n"/>
      <c r="B25" s="155" t="inlineStr">
        <is>
          <t>HGC-Lib-26084815</t>
        </is>
      </c>
      <c r="C25" s="155" t="n">
        <v>51.03</v>
      </c>
      <c r="D25" s="156" t="n">
        <v>5</v>
      </c>
      <c r="E25" s="157" t="n">
        <v>2.321</v>
      </c>
      <c r="F25" s="157">
        <f>ROUND(E25/C25*G44,3)</f>
        <v/>
      </c>
      <c r="G25" s="155" t="inlineStr">
        <is>
          <t>有参转录组（RNA-seq）</t>
        </is>
      </c>
      <c r="H25" s="155" t="inlineStr">
        <is>
          <t>广州奥智生物科技有限公司</t>
        </is>
      </c>
      <c r="I25" s="157" t="n"/>
      <c r="J25" s="155" t="n"/>
      <c r="K25" s="165" t="inlineStr">
        <is>
          <t>26.7.7-ZM_B1</t>
        </is>
      </c>
      <c r="L25" s="77" t="n"/>
      <c r="M25" s="77" t="n"/>
      <c r="N25" s="77" t="n">
        <v>51.03</v>
      </c>
      <c r="O25" s="77" t="n"/>
      <c r="P25" s="77" t="n"/>
      <c r="Q25" s="77" t="n"/>
    </row>
    <row r="26" ht="30" customHeight="1" s="80">
      <c r="A26" s="159" t="n"/>
      <c r="B26" s="155" t="inlineStr">
        <is>
          <t>HGC-Lib-26084824</t>
        </is>
      </c>
      <c r="C26" s="155" t="n">
        <v>52.43</v>
      </c>
      <c r="D26" s="156" t="n">
        <v>5</v>
      </c>
      <c r="E26" s="157" t="n">
        <v>2.321</v>
      </c>
      <c r="F26" s="157">
        <f>ROUND(E26/C26*G44,3)</f>
        <v/>
      </c>
      <c r="G26" s="155" t="inlineStr">
        <is>
          <t>有参转录组（RNA-seq）</t>
        </is>
      </c>
      <c r="H26" s="155" t="inlineStr">
        <is>
          <t>广州奥智生物科技有限公司</t>
        </is>
      </c>
      <c r="I26" s="157" t="n"/>
      <c r="J26" s="155" t="n"/>
      <c r="K26" s="165" t="inlineStr">
        <is>
          <t>26.7.7-ZM_B10</t>
        </is>
      </c>
      <c r="L26" s="77" t="n"/>
      <c r="M26" s="77" t="n"/>
      <c r="N26" s="77" t="n">
        <v>52.43</v>
      </c>
      <c r="O26" s="77" t="n"/>
      <c r="P26" s="77" t="n"/>
      <c r="Q26" s="77" t="n"/>
    </row>
    <row r="27" ht="30" customHeight="1" s="80">
      <c r="A27" s="159" t="n"/>
      <c r="B27" s="155" t="inlineStr">
        <is>
          <t>HGC-Lib-26084821</t>
        </is>
      </c>
      <c r="C27" s="155" t="n">
        <v>54.03</v>
      </c>
      <c r="D27" s="156" t="n">
        <v>5</v>
      </c>
      <c r="E27" s="157" t="n">
        <v>2.321</v>
      </c>
      <c r="F27" s="157">
        <f>ROUND(E27/C27*G44,3)</f>
        <v/>
      </c>
      <c r="G27" s="155" t="inlineStr">
        <is>
          <t>有参转录组（RNA-seq）</t>
        </is>
      </c>
      <c r="H27" s="155" t="inlineStr">
        <is>
          <t>广州奥智生物科技有限公司</t>
        </is>
      </c>
      <c r="I27" s="157" t="n"/>
      <c r="J27" s="155" t="n"/>
      <c r="K27" s="165" t="inlineStr">
        <is>
          <t>26.7.7-ZM_B7</t>
        </is>
      </c>
      <c r="L27" s="77" t="n"/>
      <c r="M27" s="77" t="n"/>
      <c r="N27" s="77" t="n">
        <v>54.03</v>
      </c>
      <c r="O27" s="77" t="n"/>
      <c r="P27" s="77" t="n"/>
      <c r="Q27" s="77" t="n"/>
    </row>
    <row r="28" ht="30" customHeight="1" s="80">
      <c r="A28" s="159" t="n"/>
      <c r="B28" s="155" t="inlineStr">
        <is>
          <t>HGC-Lib-26084823</t>
        </is>
      </c>
      <c r="C28" s="155" t="n">
        <v>58.57</v>
      </c>
      <c r="D28" s="156" t="n">
        <v>5</v>
      </c>
      <c r="E28" s="157" t="n">
        <v>2.321</v>
      </c>
      <c r="F28" s="157">
        <f>ROUND(E28/C28*G44,3)</f>
        <v/>
      </c>
      <c r="G28" s="155" t="inlineStr">
        <is>
          <t>有参转录组（RNA-seq）</t>
        </is>
      </c>
      <c r="H28" s="155" t="inlineStr">
        <is>
          <t>广州奥智生物科技有限公司</t>
        </is>
      </c>
      <c r="I28" s="157" t="n"/>
      <c r="J28" s="155" t="n"/>
      <c r="K28" s="165" t="inlineStr">
        <is>
          <t>26.7.7-ZM_B9</t>
        </is>
      </c>
      <c r="L28" s="77" t="n"/>
      <c r="M28" s="77" t="n"/>
      <c r="N28" s="77" t="n">
        <v>58.57</v>
      </c>
      <c r="O28" s="77" t="n"/>
      <c r="P28" s="77" t="n"/>
      <c r="Q28" s="77" t="n"/>
    </row>
    <row r="29" ht="30" customHeight="1" s="80">
      <c r="A29" s="159" t="n"/>
      <c r="B29" s="155" t="inlineStr">
        <is>
          <t>HGC-Lib-26084829</t>
        </is>
      </c>
      <c r="C29" s="155" t="n">
        <v>57.44</v>
      </c>
      <c r="D29" s="156" t="n">
        <v>5</v>
      </c>
      <c r="E29" s="157" t="n">
        <v>2.321</v>
      </c>
      <c r="F29" s="157">
        <f>ROUND(E29/C29*G44,3)</f>
        <v/>
      </c>
      <c r="G29" s="155" t="inlineStr">
        <is>
          <t>有参转录组（RNA-seq）</t>
        </is>
      </c>
      <c r="H29" s="155" t="inlineStr">
        <is>
          <t>广州奥智生物科技有限公司</t>
        </is>
      </c>
      <c r="I29" s="157" t="n"/>
      <c r="J29" s="155" t="n"/>
      <c r="K29" s="165" t="inlineStr">
        <is>
          <t>26.7.7-ZM_C3</t>
        </is>
      </c>
      <c r="L29" s="77" t="n"/>
      <c r="M29" s="77" t="n"/>
      <c r="N29" s="77" t="n">
        <v>57.44</v>
      </c>
      <c r="O29" s="77" t="n"/>
      <c r="P29" s="77" t="n"/>
      <c r="Q29" s="77" t="n"/>
    </row>
    <row r="30" ht="30" customHeight="1" s="80">
      <c r="A30" s="159" t="n"/>
      <c r="B30" s="155" t="inlineStr">
        <is>
          <t>HGC-Lib-26084830</t>
        </is>
      </c>
      <c r="C30" s="155" t="n">
        <v>51.46</v>
      </c>
      <c r="D30" s="156" t="n">
        <v>5</v>
      </c>
      <c r="E30" s="157" t="n">
        <v>2.321</v>
      </c>
      <c r="F30" s="157">
        <f>ROUND(E30/C30*G44,3)</f>
        <v/>
      </c>
      <c r="G30" s="155" t="inlineStr">
        <is>
          <t>有参转录组（RNA-seq）</t>
        </is>
      </c>
      <c r="H30" s="155" t="inlineStr">
        <is>
          <t>广州奥智生物科技有限公司</t>
        </is>
      </c>
      <c r="I30" s="157" t="n"/>
      <c r="J30" s="155" t="n"/>
      <c r="K30" s="165" t="inlineStr">
        <is>
          <t>26.7.7-ZM_C4</t>
        </is>
      </c>
      <c r="L30" s="77" t="n"/>
      <c r="M30" s="77" t="n"/>
      <c r="N30" s="77" t="n">
        <v>51.46</v>
      </c>
      <c r="O30" s="77" t="n"/>
      <c r="P30" s="77" t="n"/>
      <c r="Q30" s="77" t="n"/>
    </row>
    <row r="31" ht="30" customHeight="1" s="80">
      <c r="A31" s="159" t="n"/>
      <c r="B31" s="155" t="inlineStr">
        <is>
          <t>HGC-Lib-26084831</t>
        </is>
      </c>
      <c r="C31" s="155" t="n">
        <v>50</v>
      </c>
      <c r="D31" s="156" t="n">
        <v>5</v>
      </c>
      <c r="E31" s="157" t="n">
        <v>2.321</v>
      </c>
      <c r="F31" s="157">
        <f>ROUND(E31/C31*G44,3)</f>
        <v/>
      </c>
      <c r="G31" s="155" t="inlineStr">
        <is>
          <t>有参转录组（RNA-seq）</t>
        </is>
      </c>
      <c r="H31" s="155" t="inlineStr">
        <is>
          <t>广州奥智生物科技有限公司</t>
        </is>
      </c>
      <c r="I31" s="157" t="n"/>
      <c r="J31" s="155" t="n"/>
      <c r="K31" s="165" t="inlineStr">
        <is>
          <t>26.7.7-ZM_C5</t>
        </is>
      </c>
      <c r="L31" s="77" t="n"/>
      <c r="M31" s="77" t="n"/>
      <c r="N31" s="77" t="n">
        <v>50</v>
      </c>
      <c r="O31" s="77" t="n"/>
      <c r="P31" s="77" t="n"/>
      <c r="Q31" s="77" t="n"/>
    </row>
    <row r="32" ht="30" customHeight="1" s="80">
      <c r="A32" s="159" t="n"/>
      <c r="B32" s="155" t="inlineStr">
        <is>
          <t>HGC-Lib-26084848</t>
        </is>
      </c>
      <c r="C32" s="155" t="n">
        <v>63.98</v>
      </c>
      <c r="D32" s="156" t="n">
        <v>5</v>
      </c>
      <c r="E32" s="157" t="n">
        <v>2.321</v>
      </c>
      <c r="F32" s="157">
        <f>ROUND(E32/C32*G44,3)</f>
        <v/>
      </c>
      <c r="G32" s="155" t="inlineStr">
        <is>
          <t>有参转录组（RNA-seq）</t>
        </is>
      </c>
      <c r="H32" s="155" t="inlineStr">
        <is>
          <t>广州奥智生物科技有限公司</t>
        </is>
      </c>
      <c r="I32" s="157" t="n"/>
      <c r="J32" s="155" t="n"/>
      <c r="K32" s="165" t="inlineStr">
        <is>
          <t>26.7.7-ZM_D10</t>
        </is>
      </c>
      <c r="L32" s="77" t="n"/>
      <c r="M32" s="77" t="n"/>
      <c r="N32" s="77" t="n">
        <v>63.98</v>
      </c>
      <c r="O32" s="77" t="n"/>
      <c r="P32" s="77" t="n"/>
      <c r="Q32" s="77" t="n"/>
    </row>
    <row r="33" ht="30" customHeight="1" s="80">
      <c r="A33" s="159" t="n"/>
      <c r="B33" s="155" t="inlineStr">
        <is>
          <t>HGC-Lib-26084842</t>
        </is>
      </c>
      <c r="C33" s="155" t="n">
        <v>55.46</v>
      </c>
      <c r="D33" s="156" t="n">
        <v>5</v>
      </c>
      <c r="E33" s="157" t="n">
        <v>2.321</v>
      </c>
      <c r="F33" s="157">
        <f>ROUND(E33/C33*G44,3)</f>
        <v/>
      </c>
      <c r="G33" s="155" t="inlineStr">
        <is>
          <t>有参转录组（RNA-seq）</t>
        </is>
      </c>
      <c r="H33" s="155" t="inlineStr">
        <is>
          <t>广州奥智生物科技有限公司</t>
        </is>
      </c>
      <c r="I33" s="157" t="n"/>
      <c r="J33" s="155" t="n"/>
      <c r="K33" s="165" t="inlineStr">
        <is>
          <t>26.7.7-ZM_D4</t>
        </is>
      </c>
      <c r="L33" s="77" t="n"/>
      <c r="M33" s="77" t="n"/>
      <c r="N33" s="77" t="n">
        <v>55.46</v>
      </c>
      <c r="O33" s="77" t="n"/>
      <c r="P33" s="77" t="n"/>
      <c r="Q33" s="77" t="n"/>
    </row>
    <row r="34" ht="30" customHeight="1" s="80">
      <c r="A34" s="159" t="n"/>
      <c r="B34" s="155" t="inlineStr">
        <is>
          <t>HGC-Lib-26084858</t>
        </is>
      </c>
      <c r="C34" s="155" t="n">
        <v>50.35</v>
      </c>
      <c r="D34" s="156" t="n">
        <v>5</v>
      </c>
      <c r="E34" s="157" t="n">
        <v>2.321</v>
      </c>
      <c r="F34" s="157">
        <f>ROUND(E34/C34*G44,3)</f>
        <v/>
      </c>
      <c r="G34" s="155" t="inlineStr">
        <is>
          <t>有参转录组（RNA-seq）</t>
        </is>
      </c>
      <c r="H34" s="155" t="inlineStr">
        <is>
          <t>广州奥智生物科技有限公司</t>
        </is>
      </c>
      <c r="I34" s="157" t="n"/>
      <c r="J34" s="155" t="n"/>
      <c r="K34" s="165" t="inlineStr">
        <is>
          <t>26.7.7-ZM_E8</t>
        </is>
      </c>
      <c r="L34" s="77" t="n"/>
      <c r="M34" s="77" t="n"/>
      <c r="N34" s="77" t="n">
        <v>50.35</v>
      </c>
      <c r="O34" s="77" t="n"/>
      <c r="P34" s="77" t="n"/>
      <c r="Q34" s="77" t="n"/>
    </row>
    <row r="35" ht="30" customHeight="1" s="80">
      <c r="A35" s="159" t="n"/>
      <c r="B35" s="155" t="inlineStr">
        <is>
          <t>HGC-Lib-26084789</t>
        </is>
      </c>
      <c r="C35" s="155" t="n">
        <v>66.93000000000001</v>
      </c>
      <c r="D35" s="156" t="n">
        <v>5</v>
      </c>
      <c r="E35" s="157" t="n">
        <v>2.321</v>
      </c>
      <c r="F35" s="157">
        <f>ROUND(E35/C35*G44,3)</f>
        <v/>
      </c>
      <c r="G35" s="155" t="inlineStr">
        <is>
          <t>有参转录组（RNA-seq）</t>
        </is>
      </c>
      <c r="H35" s="155" t="inlineStr">
        <is>
          <t>广州奥智生物科技有限公司</t>
        </is>
      </c>
      <c r="I35" s="157" t="n"/>
      <c r="J35" s="155" t="n"/>
      <c r="K35" s="155" t="inlineStr">
        <is>
          <t>26.7.8-5-BGI_B8</t>
        </is>
      </c>
      <c r="L35" s="77" t="n"/>
      <c r="M35" s="77" t="n"/>
      <c r="N35" s="77" t="n">
        <v>66.93000000000001</v>
      </c>
      <c r="O35" s="77" t="n"/>
      <c r="P35" s="77" t="n"/>
      <c r="Q35" s="77" t="n"/>
    </row>
    <row r="36" ht="30" customHeight="1" s="80">
      <c r="A36" s="159" t="n"/>
      <c r="B36" s="155" t="inlineStr">
        <is>
          <t>HGC-Lib-26084790</t>
        </is>
      </c>
      <c r="C36" s="155" t="n">
        <v>75.05</v>
      </c>
      <c r="D36" s="156" t="n">
        <v>5</v>
      </c>
      <c r="E36" s="157" t="n">
        <v>2.321</v>
      </c>
      <c r="F36" s="157">
        <f>ROUND(E36/C36*G44,3)</f>
        <v/>
      </c>
      <c r="G36" s="155" t="inlineStr">
        <is>
          <t>有参转录组（RNA-seq）</t>
        </is>
      </c>
      <c r="H36" s="155" t="inlineStr">
        <is>
          <t>广州奥智生物科技有限公司</t>
        </is>
      </c>
      <c r="I36" s="157" t="n"/>
      <c r="J36" s="155" t="n"/>
      <c r="K36" s="155" t="inlineStr">
        <is>
          <t>26.7.8-5-BGI_B9</t>
        </is>
      </c>
      <c r="L36" s="77" t="n"/>
      <c r="M36" s="77" t="n"/>
      <c r="N36" s="77" t="n">
        <v>75.05</v>
      </c>
      <c r="O36" s="77" t="n"/>
      <c r="P36" s="77" t="n"/>
      <c r="Q36" s="77" t="n"/>
    </row>
    <row r="37" ht="30" customHeight="1" s="80">
      <c r="A37" s="159" t="n"/>
      <c r="B37" s="155" t="inlineStr">
        <is>
          <t>HGC-Lib-26084795</t>
        </is>
      </c>
      <c r="C37" s="155" t="n">
        <v>60.31</v>
      </c>
      <c r="D37" s="156" t="n">
        <v>5</v>
      </c>
      <c r="E37" s="157" t="n">
        <v>2.321</v>
      </c>
      <c r="F37" s="157">
        <f>ROUND(E37/C37*G44,3)</f>
        <v/>
      </c>
      <c r="G37" s="155" t="inlineStr">
        <is>
          <t>有参转录组（RNA-seq）</t>
        </is>
      </c>
      <c r="H37" s="155" t="inlineStr">
        <is>
          <t>广州奥智生物科技有限公司</t>
        </is>
      </c>
      <c r="I37" s="157" t="n"/>
      <c r="J37" s="155" t="n"/>
      <c r="K37" s="155" t="inlineStr">
        <is>
          <t>26.7.8-5-BGI_C2</t>
        </is>
      </c>
      <c r="L37" s="77" t="n"/>
      <c r="M37" s="77" t="n"/>
      <c r="N37" s="77" t="n">
        <v>60.31</v>
      </c>
      <c r="O37" s="77" t="n"/>
      <c r="P37" s="77" t="n"/>
      <c r="Q37" s="77" t="n"/>
    </row>
    <row r="38" ht="30" customHeight="1" s="80">
      <c r="A38" s="159" t="n"/>
      <c r="B38" s="155" t="inlineStr">
        <is>
          <t>HGC-Lib-26084797</t>
        </is>
      </c>
      <c r="C38" s="155" t="n">
        <v>80.52</v>
      </c>
      <c r="D38" s="156" t="n">
        <v>5</v>
      </c>
      <c r="E38" s="157" t="n">
        <v>2.321</v>
      </c>
      <c r="F38" s="157">
        <f>ROUND(E38/C38*G44,3)</f>
        <v/>
      </c>
      <c r="G38" s="155" t="inlineStr">
        <is>
          <t>有参转录组（RNA-seq）</t>
        </is>
      </c>
      <c r="H38" s="155" t="inlineStr">
        <is>
          <t>广州奥智生物科技有限公司</t>
        </is>
      </c>
      <c r="I38" s="157" t="n"/>
      <c r="J38" s="155" t="n"/>
      <c r="K38" s="155" t="inlineStr">
        <is>
          <t>26.7.8-5-BGI_C4</t>
        </is>
      </c>
      <c r="L38" s="77" t="n"/>
      <c r="M38" s="77" t="n"/>
      <c r="N38" s="77" t="n">
        <v>80.52</v>
      </c>
      <c r="O38" s="77" t="n"/>
      <c r="P38" s="77" t="n"/>
      <c r="Q38" s="77" t="n"/>
    </row>
    <row r="39" ht="30" customHeight="1" s="80">
      <c r="A39" s="159" t="n"/>
      <c r="B39" s="155" t="inlineStr">
        <is>
          <t>HGC-Lib-26084798</t>
        </is>
      </c>
      <c r="C39" s="155" t="n">
        <v>87.61</v>
      </c>
      <c r="D39" s="156" t="n">
        <v>5</v>
      </c>
      <c r="E39" s="157" t="n">
        <v>2.321</v>
      </c>
      <c r="F39" s="157">
        <f>ROUND(E39/C39*G44,3)</f>
        <v/>
      </c>
      <c r="G39" s="155" t="inlineStr">
        <is>
          <t>有参转录组（RNA-seq）</t>
        </is>
      </c>
      <c r="H39" s="155" t="inlineStr">
        <is>
          <t>广州奥智生物科技有限公司</t>
        </is>
      </c>
      <c r="I39" s="157" t="n"/>
      <c r="J39" s="155" t="n"/>
      <c r="K39" s="155" t="inlineStr">
        <is>
          <t>26.7.8-5-BGI_C5</t>
        </is>
      </c>
      <c r="L39" s="77" t="n"/>
      <c r="M39" s="77" t="n"/>
      <c r="N39" s="77" t="n">
        <v>87.61</v>
      </c>
      <c r="O39" s="77" t="n"/>
      <c r="P39" s="77" t="n"/>
      <c r="Q39" s="77" t="n"/>
    </row>
    <row r="40" ht="30" customHeight="1" s="80">
      <c r="A40" s="159" t="n"/>
      <c r="B40" s="155" t="inlineStr">
        <is>
          <t>HGC-Lib-26084799</t>
        </is>
      </c>
      <c r="C40" s="155" t="n">
        <v>85.09</v>
      </c>
      <c r="D40" s="156" t="n">
        <v>5</v>
      </c>
      <c r="E40" s="157" t="n">
        <v>2.321</v>
      </c>
      <c r="F40" s="157">
        <f>ROUND(E40/C40*G44,3)</f>
        <v/>
      </c>
      <c r="G40" s="155" t="inlineStr">
        <is>
          <t>有参转录组（RNA-seq）</t>
        </is>
      </c>
      <c r="H40" s="155" t="inlineStr">
        <is>
          <t>广州奥智生物科技有限公司</t>
        </is>
      </c>
      <c r="I40" s="157" t="n"/>
      <c r="J40" s="155" t="n"/>
      <c r="K40" s="155" t="inlineStr">
        <is>
          <t>26.7.8-5-BGI_C6</t>
        </is>
      </c>
      <c r="L40" s="77" t="n"/>
      <c r="M40" s="77" t="n"/>
      <c r="N40" s="77" t="n">
        <v>85.09</v>
      </c>
      <c r="O40" s="77" t="n"/>
      <c r="P40" s="77" t="n"/>
      <c r="Q40" s="77" t="n"/>
    </row>
    <row r="41" ht="30" customHeight="1" s="80">
      <c r="A41" s="159" t="n"/>
      <c r="B41" s="155" t="inlineStr">
        <is>
          <t>HGC-Lib-26084800</t>
        </is>
      </c>
      <c r="C41" s="155" t="n">
        <v>80.81</v>
      </c>
      <c r="D41" s="156" t="n">
        <v>5</v>
      </c>
      <c r="E41" s="157" t="n">
        <v>2.321</v>
      </c>
      <c r="F41" s="157">
        <f>ROUND(E41/C41*G44,3)</f>
        <v/>
      </c>
      <c r="G41" s="155" t="inlineStr">
        <is>
          <t>有参转录组（RNA-seq）</t>
        </is>
      </c>
      <c r="H41" s="155" t="inlineStr">
        <is>
          <t>广州奥智生物科技有限公司</t>
        </is>
      </c>
      <c r="I41" s="157" t="n"/>
      <c r="J41" s="155" t="n"/>
      <c r="K41" s="155" t="inlineStr">
        <is>
          <t>26.7.8-5-BGI_C7</t>
        </is>
      </c>
      <c r="L41" s="77" t="n"/>
      <c r="M41" s="77" t="n"/>
      <c r="N41" s="77" t="n">
        <v>80.81</v>
      </c>
      <c r="O41" s="77" t="n"/>
      <c r="P41" s="77" t="n"/>
      <c r="Q41" s="77" t="n"/>
    </row>
    <row r="42" ht="30" customHeight="1" s="80">
      <c r="A42" s="159" t="n"/>
      <c r="B42" s="155" t="inlineStr">
        <is>
          <t>HGC-Lib-26084801</t>
        </is>
      </c>
      <c r="C42" s="155" t="n">
        <v>55.26</v>
      </c>
      <c r="D42" s="156" t="n">
        <v>5</v>
      </c>
      <c r="E42" s="157" t="n">
        <v>2.321</v>
      </c>
      <c r="F42" s="157">
        <f>ROUND(E42/C42*G44,3)</f>
        <v/>
      </c>
      <c r="G42" s="155" t="inlineStr">
        <is>
          <t>有参转录组（RNA-seq）</t>
        </is>
      </c>
      <c r="H42" s="155" t="inlineStr">
        <is>
          <t>广州奥智生物科技有限公司</t>
        </is>
      </c>
      <c r="I42" s="157" t="n"/>
      <c r="J42" s="155" t="n"/>
      <c r="K42" s="155" t="inlineStr">
        <is>
          <t>26.7.8-5-BGI_C8</t>
        </is>
      </c>
      <c r="L42" s="77" t="n"/>
      <c r="M42" s="77" t="n"/>
      <c r="N42" s="77" t="n">
        <v>55.26</v>
      </c>
      <c r="O42" s="77" t="n"/>
      <c r="P42" s="77" t="n"/>
      <c r="Q42" s="77" t="n"/>
    </row>
    <row r="43" ht="30" customHeight="1" s="80">
      <c r="A43" s="160" t="n"/>
      <c r="B43" s="155" t="inlineStr">
        <is>
          <t>HGC-Lib-26084802</t>
        </is>
      </c>
      <c r="C43" s="155" t="n">
        <v>84.05</v>
      </c>
      <c r="D43" s="156" t="n">
        <v>5</v>
      </c>
      <c r="E43" s="157" t="n">
        <v>2.321</v>
      </c>
      <c r="F43" s="157">
        <f>ROUND(E43/C43*G44,3)</f>
        <v/>
      </c>
      <c r="G43" s="155" t="inlineStr">
        <is>
          <t>有参转录组（RNA-seq）</t>
        </is>
      </c>
      <c r="H43" s="155" t="inlineStr">
        <is>
          <t>广州奥智生物科技有限公司</t>
        </is>
      </c>
      <c r="I43" s="157" t="n"/>
      <c r="J43" s="155" t="n"/>
      <c r="K43" s="155" t="inlineStr">
        <is>
          <t>26.7.8-5-BGI_C9</t>
        </is>
      </c>
      <c r="L43" s="77" t="n"/>
      <c r="M43" s="77" t="n"/>
      <c r="N43" s="77" t="n">
        <v>84.05</v>
      </c>
      <c r="O43" s="77" t="n"/>
      <c r="P43" s="77" t="n"/>
      <c r="Q43" s="77" t="n"/>
    </row>
    <row r="44" ht="30" customHeight="1" s="80">
      <c r="A44" s="78" t="n"/>
      <c r="B44" s="78" t="n"/>
      <c r="C44" s="78" t="n"/>
      <c r="D44" s="86">
        <f>ROUND(SUM(D20:D43),2)</f>
        <v/>
      </c>
      <c r="E44" s="87" t="n">
        <v>49.989</v>
      </c>
      <c r="F44" s="87">
        <f>IF(G44&gt;1,ROUND(SUM(F20:F43)/G44*2,3),ROUND(SUM(F20:F43),3))</f>
        <v/>
      </c>
      <c r="G44" s="77" t="n">
        <v>51</v>
      </c>
      <c r="H44" s="78" t="n"/>
      <c r="I44" s="158">
        <f>ROUND(20-F44,3)</f>
        <v/>
      </c>
      <c r="J44" s="78" t="n"/>
      <c r="K44" s="78" t="n"/>
      <c r="L44" s="78" t="n"/>
      <c r="M44" s="77">
        <f>AVERAGE(M20:M43)</f>
        <v/>
      </c>
      <c r="N44" s="78" t="n"/>
      <c r="O44" s="78" t="n"/>
      <c r="P44" s="78" t="n"/>
      <c r="Q44" s="78" t="n"/>
    </row>
    <row r="45" ht="30" customHeight="1" s="80">
      <c r="A45" s="155" t="inlineStr">
        <is>
          <t>C5</t>
        </is>
      </c>
      <c r="B45" s="155" t="inlineStr">
        <is>
          <t>HGC-Lib-26084803</t>
        </is>
      </c>
      <c r="C45" s="155" t="n">
        <v>45.09</v>
      </c>
      <c r="D45" s="156" t="n">
        <v>5</v>
      </c>
      <c r="E45" s="157" t="n">
        <v>0.676</v>
      </c>
      <c r="F45" s="157">
        <f>ROUND(E45/C45*G119,3)</f>
        <v/>
      </c>
      <c r="G45" s="155" t="inlineStr">
        <is>
          <t>有参转录组（RNA-seq）</t>
        </is>
      </c>
      <c r="H45" s="155" t="inlineStr">
        <is>
          <t>广州奥智生物科技有限公司</t>
        </is>
      </c>
      <c r="I45" s="157" t="n"/>
      <c r="J45" s="155" t="n"/>
      <c r="K45" s="155" t="inlineStr">
        <is>
          <t>26.7.7-ZM_A1</t>
        </is>
      </c>
      <c r="L45" s="77" t="n"/>
      <c r="M45" s="77" t="n"/>
      <c r="N45" s="77" t="n">
        <v>45.09</v>
      </c>
      <c r="O45" s="77" t="n"/>
      <c r="P45" s="77" t="n"/>
      <c r="Q45" s="77" t="n"/>
    </row>
    <row r="46" ht="30" customHeight="1" s="80">
      <c r="A46" s="159" t="n"/>
      <c r="B46" s="155" t="inlineStr">
        <is>
          <t>HGC-Lib-26084812</t>
        </is>
      </c>
      <c r="C46" s="155" t="n">
        <v>40.54</v>
      </c>
      <c r="D46" s="156" t="n">
        <v>5</v>
      </c>
      <c r="E46" s="157" t="n">
        <v>0.676</v>
      </c>
      <c r="F46" s="157">
        <f>ROUND(E46/C46*G119,3)</f>
        <v/>
      </c>
      <c r="G46" s="155" t="inlineStr">
        <is>
          <t>有参转录组（RNA-seq）</t>
        </is>
      </c>
      <c r="H46" s="155" t="inlineStr">
        <is>
          <t>广州奥智生物科技有限公司</t>
        </is>
      </c>
      <c r="I46" s="157" t="n"/>
      <c r="J46" s="155" t="n"/>
      <c r="K46" s="155" t="inlineStr">
        <is>
          <t>26.7.7-ZM_A10</t>
        </is>
      </c>
      <c r="L46" s="77" t="n"/>
      <c r="M46" s="77" t="n"/>
      <c r="N46" s="77" t="n">
        <v>40.54</v>
      </c>
      <c r="O46" s="77" t="n"/>
      <c r="P46" s="77" t="n"/>
      <c r="Q46" s="77" t="n"/>
    </row>
    <row r="47" ht="30" customHeight="1" s="80">
      <c r="A47" s="159" t="n"/>
      <c r="B47" s="155" t="inlineStr">
        <is>
          <t>HGC-Lib-26084813</t>
        </is>
      </c>
      <c r="C47" s="155" t="n">
        <v>34.75</v>
      </c>
      <c r="D47" s="156" t="n">
        <v>5</v>
      </c>
      <c r="E47" s="157" t="n">
        <v>0.676</v>
      </c>
      <c r="F47" s="157">
        <f>ROUND(E47/C47*G119,3)</f>
        <v/>
      </c>
      <c r="G47" s="155" t="inlineStr">
        <is>
          <t>有参转录组（RNA-seq）</t>
        </is>
      </c>
      <c r="H47" s="155" t="inlineStr">
        <is>
          <t>广州奥智生物科技有限公司</t>
        </is>
      </c>
      <c r="I47" s="157" t="n"/>
      <c r="J47" s="155" t="n"/>
      <c r="K47" s="155" t="inlineStr">
        <is>
          <t>26.7.7-ZM_A11</t>
        </is>
      </c>
      <c r="L47" s="77" t="n"/>
      <c r="M47" s="77" t="n"/>
      <c r="N47" s="77" t="n">
        <v>34.75</v>
      </c>
      <c r="O47" s="77" t="n"/>
      <c r="P47" s="77" t="n"/>
      <c r="Q47" s="77" t="n"/>
    </row>
    <row r="48" ht="30" customHeight="1" s="80">
      <c r="A48" s="159" t="n"/>
      <c r="B48" s="155" t="inlineStr">
        <is>
          <t>HGC-Lib-26084814</t>
        </is>
      </c>
      <c r="C48" s="155" t="n">
        <v>31.52</v>
      </c>
      <c r="D48" s="156" t="n">
        <v>5</v>
      </c>
      <c r="E48" s="157" t="n">
        <v>0.676</v>
      </c>
      <c r="F48" s="157">
        <f>ROUND(E48/C48*G119,3)</f>
        <v/>
      </c>
      <c r="G48" s="155" t="inlineStr">
        <is>
          <t>有参转录组（RNA-seq）</t>
        </is>
      </c>
      <c r="H48" s="155" t="inlineStr">
        <is>
          <t>广州奥智生物科技有限公司</t>
        </is>
      </c>
      <c r="I48" s="157" t="n"/>
      <c r="J48" s="155" t="n"/>
      <c r="K48" s="155" t="inlineStr">
        <is>
          <t>26.7.7-ZM_A12</t>
        </is>
      </c>
      <c r="L48" s="77" t="n"/>
      <c r="M48" s="77" t="n"/>
      <c r="N48" s="77" t="n">
        <v>31.52</v>
      </c>
      <c r="O48" s="77" t="n"/>
      <c r="P48" s="77" t="n"/>
      <c r="Q48" s="77" t="n"/>
    </row>
    <row r="49" ht="30" customHeight="1" s="80">
      <c r="A49" s="159" t="n"/>
      <c r="B49" s="155" t="inlineStr">
        <is>
          <t>HGC-Lib-26084806</t>
        </is>
      </c>
      <c r="C49" s="155" t="n">
        <v>29.1</v>
      </c>
      <c r="D49" s="156" t="n">
        <v>5</v>
      </c>
      <c r="E49" s="157" t="n">
        <v>0.676</v>
      </c>
      <c r="F49" s="157">
        <f>ROUND(E49/C49*G119,3)</f>
        <v/>
      </c>
      <c r="G49" s="155" t="inlineStr">
        <is>
          <t>有参转录组（RNA-seq）</t>
        </is>
      </c>
      <c r="H49" s="155" t="inlineStr">
        <is>
          <t>广州奥智生物科技有限公司</t>
        </is>
      </c>
      <c r="I49" s="157" t="n"/>
      <c r="J49" s="155" t="n"/>
      <c r="K49" s="155" t="inlineStr">
        <is>
          <t>26.7.7-ZM_A4</t>
        </is>
      </c>
      <c r="L49" s="77" t="n"/>
      <c r="M49" s="77" t="n"/>
      <c r="N49" s="77" t="n">
        <v>29.1</v>
      </c>
      <c r="O49" s="77" t="n"/>
      <c r="P49" s="77" t="n"/>
      <c r="Q49" s="77" t="n"/>
    </row>
    <row r="50" ht="30" customHeight="1" s="80">
      <c r="A50" s="159" t="n"/>
      <c r="B50" s="155" t="inlineStr">
        <is>
          <t>HGC-Lib-26084807</t>
        </is>
      </c>
      <c r="C50" s="155" t="n">
        <v>33.84</v>
      </c>
      <c r="D50" s="156" t="n">
        <v>5</v>
      </c>
      <c r="E50" s="157" t="n">
        <v>0.676</v>
      </c>
      <c r="F50" s="157">
        <f>ROUND(E50/C50*G119,3)</f>
        <v/>
      </c>
      <c r="G50" s="155" t="inlineStr">
        <is>
          <t>有参转录组（RNA-seq）</t>
        </is>
      </c>
      <c r="H50" s="155" t="inlineStr">
        <is>
          <t>广州奥智生物科技有限公司</t>
        </is>
      </c>
      <c r="I50" s="157" t="n"/>
      <c r="J50" s="155" t="n"/>
      <c r="K50" s="155" t="inlineStr">
        <is>
          <t>26.7.7-ZM_A5</t>
        </is>
      </c>
      <c r="L50" s="77" t="n"/>
      <c r="M50" s="77" t="n"/>
      <c r="N50" s="77" t="n">
        <v>33.84</v>
      </c>
      <c r="O50" s="77" t="n"/>
      <c r="P50" s="77" t="n"/>
      <c r="Q50" s="77" t="n"/>
    </row>
    <row r="51" ht="30" customHeight="1" s="80">
      <c r="A51" s="159" t="n"/>
      <c r="B51" s="155" t="inlineStr">
        <is>
          <t>HGC-Lib-26084808</t>
        </is>
      </c>
      <c r="C51" s="155" t="n">
        <v>32.65</v>
      </c>
      <c r="D51" s="156" t="n">
        <v>5</v>
      </c>
      <c r="E51" s="157" t="n">
        <v>0.676</v>
      </c>
      <c r="F51" s="157">
        <f>ROUND(E51/C51*G119,3)</f>
        <v/>
      </c>
      <c r="G51" s="155" t="inlineStr">
        <is>
          <t>有参转录组（RNA-seq）</t>
        </is>
      </c>
      <c r="H51" s="155" t="inlineStr">
        <is>
          <t>广州奥智生物科技有限公司</t>
        </is>
      </c>
      <c r="I51" s="157" t="n"/>
      <c r="J51" s="155" t="n"/>
      <c r="K51" s="155" t="inlineStr">
        <is>
          <t>26.7.7-ZM_A6</t>
        </is>
      </c>
      <c r="L51" s="77" t="n"/>
      <c r="M51" s="77" t="n"/>
      <c r="N51" s="77" t="n">
        <v>32.65</v>
      </c>
      <c r="O51" s="77" t="n"/>
      <c r="P51" s="77" t="n"/>
      <c r="Q51" s="77" t="n"/>
    </row>
    <row r="52" ht="30" customHeight="1" s="80">
      <c r="A52" s="159" t="n"/>
      <c r="B52" s="155" t="inlineStr">
        <is>
          <t>HGC-Lib-26084809</t>
        </is>
      </c>
      <c r="C52" s="155" t="n">
        <v>32.03</v>
      </c>
      <c r="D52" s="156" t="n">
        <v>5</v>
      </c>
      <c r="E52" s="157" t="n">
        <v>0.676</v>
      </c>
      <c r="F52" s="157">
        <f>ROUND(E52/C52*G119,3)</f>
        <v/>
      </c>
      <c r="G52" s="155" t="inlineStr">
        <is>
          <t>有参转录组（RNA-seq）</t>
        </is>
      </c>
      <c r="H52" s="155" t="inlineStr">
        <is>
          <t>广州奥智生物科技有限公司</t>
        </is>
      </c>
      <c r="I52" s="157" t="n"/>
      <c r="J52" s="155" t="n"/>
      <c r="K52" s="155" t="inlineStr">
        <is>
          <t>26.7.7-ZM_A7</t>
        </is>
      </c>
      <c r="L52" s="77" t="n"/>
      <c r="M52" s="77" t="n"/>
      <c r="N52" s="77" t="n">
        <v>32.03</v>
      </c>
      <c r="O52" s="77" t="n"/>
      <c r="P52" s="77" t="n"/>
      <c r="Q52" s="77" t="n"/>
    </row>
    <row r="53" ht="30" customHeight="1" s="80">
      <c r="A53" s="159" t="n"/>
      <c r="B53" s="155" t="inlineStr">
        <is>
          <t>HGC-Lib-26084810</t>
        </is>
      </c>
      <c r="C53" s="155" t="n">
        <v>41.02</v>
      </c>
      <c r="D53" s="156" t="n">
        <v>5</v>
      </c>
      <c r="E53" s="157" t="n">
        <v>0.676</v>
      </c>
      <c r="F53" s="157">
        <f>ROUND(E53/C53*G119,3)</f>
        <v/>
      </c>
      <c r="G53" s="155" t="inlineStr">
        <is>
          <t>有参转录组（RNA-seq）</t>
        </is>
      </c>
      <c r="H53" s="155" t="inlineStr">
        <is>
          <t>广州奥智生物科技有限公司</t>
        </is>
      </c>
      <c r="I53" s="157" t="n"/>
      <c r="J53" s="155" t="n"/>
      <c r="K53" s="155" t="inlineStr">
        <is>
          <t>26.7.7-ZM_A8</t>
        </is>
      </c>
      <c r="L53" s="77" t="n"/>
      <c r="M53" s="77" t="n"/>
      <c r="N53" s="77" t="n">
        <v>41.02</v>
      </c>
      <c r="O53" s="77" t="n"/>
      <c r="P53" s="77" t="n"/>
      <c r="Q53" s="77" t="n"/>
    </row>
    <row r="54" ht="30" customHeight="1" s="80">
      <c r="A54" s="159" t="n"/>
      <c r="B54" s="155" t="inlineStr">
        <is>
          <t>HGC-Lib-26084811</t>
        </is>
      </c>
      <c r="C54" s="155" t="n">
        <v>22.43</v>
      </c>
      <c r="D54" s="156" t="n">
        <v>5</v>
      </c>
      <c r="E54" s="157" t="n">
        <v>0.676</v>
      </c>
      <c r="F54" s="157">
        <f>ROUND(E54/C54*G119,3)</f>
        <v/>
      </c>
      <c r="G54" s="155" t="inlineStr">
        <is>
          <t>有参转录组（RNA-seq）</t>
        </is>
      </c>
      <c r="H54" s="155" t="inlineStr">
        <is>
          <t>广州奥智生物科技有限公司</t>
        </is>
      </c>
      <c r="I54" s="157" t="n"/>
      <c r="J54" s="155" t="n"/>
      <c r="K54" s="155" t="inlineStr">
        <is>
          <t>26.7.7-ZM_A9</t>
        </is>
      </c>
      <c r="L54" s="77" t="n"/>
      <c r="M54" s="77" t="n"/>
      <c r="N54" s="77" t="n">
        <v>22.43</v>
      </c>
      <c r="O54" s="77" t="n"/>
      <c r="P54" s="77" t="n"/>
      <c r="Q54" s="77" t="n"/>
    </row>
    <row r="55" ht="30" customHeight="1" s="80">
      <c r="A55" s="159" t="n"/>
      <c r="B55" s="155" t="inlineStr">
        <is>
          <t>HGC-Lib-26084825</t>
        </is>
      </c>
      <c r="C55" s="155" t="n">
        <v>43.28</v>
      </c>
      <c r="D55" s="156" t="n">
        <v>5</v>
      </c>
      <c r="E55" s="157" t="n">
        <v>0.676</v>
      </c>
      <c r="F55" s="157">
        <f>ROUND(E55/C55*G119,3)</f>
        <v/>
      </c>
      <c r="G55" s="155" t="inlineStr">
        <is>
          <t>有参转录组（RNA-seq）</t>
        </is>
      </c>
      <c r="H55" s="155" t="inlineStr">
        <is>
          <t>广州奥智生物科技有限公司</t>
        </is>
      </c>
      <c r="I55" s="157" t="n"/>
      <c r="J55" s="155" t="n"/>
      <c r="K55" s="155" t="inlineStr">
        <is>
          <t>26.7.7-ZM_B11</t>
        </is>
      </c>
      <c r="L55" s="77" t="n"/>
      <c r="M55" s="77" t="n"/>
      <c r="N55" s="77" t="n">
        <v>43.28</v>
      </c>
      <c r="O55" s="77" t="n"/>
      <c r="P55" s="77" t="n"/>
      <c r="Q55" s="77" t="n"/>
    </row>
    <row r="56" ht="30" customHeight="1" s="80">
      <c r="A56" s="159" t="n"/>
      <c r="B56" s="155" t="inlineStr">
        <is>
          <t>HGC-Lib-26084826</t>
        </is>
      </c>
      <c r="C56" s="155" t="n">
        <v>41.45</v>
      </c>
      <c r="D56" s="156" t="n">
        <v>5</v>
      </c>
      <c r="E56" s="157" t="n">
        <v>0.676</v>
      </c>
      <c r="F56" s="157">
        <f>ROUND(E56/C56*G119,3)</f>
        <v/>
      </c>
      <c r="G56" s="155" t="inlineStr">
        <is>
          <t>有参转录组（RNA-seq）</t>
        </is>
      </c>
      <c r="H56" s="155" t="inlineStr">
        <is>
          <t>广州奥智生物科技有限公司</t>
        </is>
      </c>
      <c r="I56" s="157" t="n"/>
      <c r="J56" s="155" t="n"/>
      <c r="K56" s="155" t="inlineStr">
        <is>
          <t>26.7.7-ZM_B12</t>
        </is>
      </c>
      <c r="L56" s="77" t="n"/>
      <c r="M56" s="77" t="n"/>
      <c r="N56" s="77" t="n">
        <v>41.45</v>
      </c>
      <c r="O56" s="77" t="n"/>
      <c r="P56" s="77" t="n"/>
      <c r="Q56" s="77" t="n"/>
    </row>
    <row r="57" ht="30" customHeight="1" s="80">
      <c r="A57" s="159" t="n"/>
      <c r="B57" s="155" t="inlineStr">
        <is>
          <t>HGC-Lib-26084816</t>
        </is>
      </c>
      <c r="C57" s="155" t="n">
        <v>39.63</v>
      </c>
      <c r="D57" s="156" t="n">
        <v>5</v>
      </c>
      <c r="E57" s="157" t="n">
        <v>0.676</v>
      </c>
      <c r="F57" s="157">
        <f>ROUND(E57/C57*G119,3)</f>
        <v/>
      </c>
      <c r="G57" s="155" t="inlineStr">
        <is>
          <t>有参转录组（RNA-seq）</t>
        </is>
      </c>
      <c r="H57" s="155" t="inlineStr">
        <is>
          <t>广州奥智生物科技有限公司</t>
        </is>
      </c>
      <c r="I57" s="157" t="n"/>
      <c r="J57" s="155" t="n"/>
      <c r="K57" s="155" t="inlineStr">
        <is>
          <t>26.7.7-ZM_B2</t>
        </is>
      </c>
      <c r="L57" s="77" t="n"/>
      <c r="M57" s="77" t="n"/>
      <c r="N57" s="77" t="n">
        <v>39.63</v>
      </c>
      <c r="O57" s="77" t="n"/>
      <c r="P57" s="77" t="n"/>
      <c r="Q57" s="77" t="n"/>
    </row>
    <row r="58" ht="30" customHeight="1" s="80">
      <c r="A58" s="159" t="n"/>
      <c r="B58" s="155" t="inlineStr">
        <is>
          <t>HGC-Lib-26084817</t>
        </is>
      </c>
      <c r="C58" s="155" t="n">
        <v>42.85</v>
      </c>
      <c r="D58" s="156" t="n">
        <v>5</v>
      </c>
      <c r="E58" s="157" t="n">
        <v>0.676</v>
      </c>
      <c r="F58" s="157">
        <f>ROUND(E58/C58*G119,3)</f>
        <v/>
      </c>
      <c r="G58" s="155" t="inlineStr">
        <is>
          <t>有参转录组（RNA-seq）</t>
        </is>
      </c>
      <c r="H58" s="155" t="inlineStr">
        <is>
          <t>广州奥智生物科技有限公司</t>
        </is>
      </c>
      <c r="I58" s="157" t="n"/>
      <c r="J58" s="155" t="n"/>
      <c r="K58" s="155" t="inlineStr">
        <is>
          <t>26.7.7-ZM_B3</t>
        </is>
      </c>
      <c r="L58" s="77" t="n"/>
      <c r="M58" s="77" t="n"/>
      <c r="N58" s="77" t="n">
        <v>42.85</v>
      </c>
      <c r="O58" s="77" t="n"/>
      <c r="P58" s="77" t="n"/>
      <c r="Q58" s="77" t="n"/>
    </row>
    <row r="59" ht="30" customHeight="1" s="80">
      <c r="A59" s="159" t="n"/>
      <c r="B59" s="155" t="inlineStr">
        <is>
          <t>HGC-Lib-26084818</t>
        </is>
      </c>
      <c r="C59" s="155" t="n">
        <v>36.73</v>
      </c>
      <c r="D59" s="156" t="n">
        <v>5</v>
      </c>
      <c r="E59" s="157" t="n">
        <v>0.676</v>
      </c>
      <c r="F59" s="157">
        <f>ROUND(E59/C59*G119,3)</f>
        <v/>
      </c>
      <c r="G59" s="155" t="inlineStr">
        <is>
          <t>有参转录组（RNA-seq）</t>
        </is>
      </c>
      <c r="H59" s="155" t="inlineStr">
        <is>
          <t>广州奥智生物科技有限公司</t>
        </is>
      </c>
      <c r="I59" s="157" t="n"/>
      <c r="J59" s="155" t="n"/>
      <c r="K59" s="155" t="inlineStr">
        <is>
          <t>26.7.7-ZM_B4</t>
        </is>
      </c>
      <c r="L59" s="77" t="n"/>
      <c r="M59" s="77" t="n"/>
      <c r="N59" s="77" t="n">
        <v>36.73</v>
      </c>
      <c r="O59" s="77" t="n"/>
      <c r="P59" s="77" t="n"/>
      <c r="Q59" s="77" t="n"/>
    </row>
    <row r="60" ht="30" customHeight="1" s="80">
      <c r="A60" s="159" t="n"/>
      <c r="B60" s="155" t="inlineStr">
        <is>
          <t>HGC-Lib-26084819</t>
        </is>
      </c>
      <c r="C60" s="155" t="n">
        <v>35.5</v>
      </c>
      <c r="D60" s="156" t="n">
        <v>5</v>
      </c>
      <c r="E60" s="157" t="n">
        <v>0.676</v>
      </c>
      <c r="F60" s="157">
        <f>ROUND(E60/C60*G119,3)</f>
        <v/>
      </c>
      <c r="G60" s="155" t="inlineStr">
        <is>
          <t>有参转录组（RNA-seq）</t>
        </is>
      </c>
      <c r="H60" s="155" t="inlineStr">
        <is>
          <t>广州奥智生物科技有限公司</t>
        </is>
      </c>
      <c r="I60" s="157" t="n"/>
      <c r="J60" s="155" t="n"/>
      <c r="K60" s="155" t="inlineStr">
        <is>
          <t>26.7.7-ZM_B5</t>
        </is>
      </c>
      <c r="L60" s="77" t="n"/>
      <c r="M60" s="77" t="n"/>
      <c r="N60" s="77" t="n">
        <v>35.5</v>
      </c>
      <c r="O60" s="77" t="n"/>
      <c r="P60" s="77" t="n"/>
      <c r="Q60" s="77" t="n"/>
    </row>
    <row r="61" ht="30" customHeight="1" s="80">
      <c r="A61" s="159" t="n"/>
      <c r="B61" s="155" t="inlineStr">
        <is>
          <t>HGC-Lib-26084820</t>
        </is>
      </c>
      <c r="C61" s="155" t="n">
        <v>35.81</v>
      </c>
      <c r="D61" s="156" t="n">
        <v>5</v>
      </c>
      <c r="E61" s="157" t="n">
        <v>0.676</v>
      </c>
      <c r="F61" s="157">
        <f>ROUND(E61/C61*G119,3)</f>
        <v/>
      </c>
      <c r="G61" s="155" t="inlineStr">
        <is>
          <t>有参转录组（RNA-seq）</t>
        </is>
      </c>
      <c r="H61" s="155" t="inlineStr">
        <is>
          <t>广州奥智生物科技有限公司</t>
        </is>
      </c>
      <c r="I61" s="157" t="n"/>
      <c r="J61" s="155" t="n"/>
      <c r="K61" s="155" t="inlineStr">
        <is>
          <t>26.7.7-ZM_B6</t>
        </is>
      </c>
      <c r="L61" s="77" t="n"/>
      <c r="M61" s="77" t="n"/>
      <c r="N61" s="77" t="n">
        <v>35.81</v>
      </c>
      <c r="O61" s="77" t="n"/>
      <c r="P61" s="77" t="n"/>
      <c r="Q61" s="77" t="n"/>
    </row>
    <row r="62" ht="30" customHeight="1" s="80">
      <c r="A62" s="159" t="n"/>
      <c r="B62" s="155" t="inlineStr">
        <is>
          <t>HGC-Lib-26084822</t>
        </is>
      </c>
      <c r="C62" s="155" t="n">
        <v>40.42</v>
      </c>
      <c r="D62" s="156" t="n">
        <v>5</v>
      </c>
      <c r="E62" s="157" t="n">
        <v>0.676</v>
      </c>
      <c r="F62" s="157">
        <f>ROUND(E62/C62*G119,3)</f>
        <v/>
      </c>
      <c r="G62" s="155" t="inlineStr">
        <is>
          <t>有参转录组（RNA-seq）</t>
        </is>
      </c>
      <c r="H62" s="155" t="inlineStr">
        <is>
          <t>广州奥智生物科技有限公司</t>
        </is>
      </c>
      <c r="I62" s="157" t="n"/>
      <c r="J62" s="155" t="n"/>
      <c r="K62" s="155" t="inlineStr">
        <is>
          <t>26.7.7-ZM_B8</t>
        </is>
      </c>
      <c r="L62" s="77" t="n"/>
      <c r="M62" s="77" t="n"/>
      <c r="N62" s="77" t="n">
        <v>40.42</v>
      </c>
      <c r="O62" s="77" t="n"/>
      <c r="P62" s="77" t="n"/>
      <c r="Q62" s="77" t="n"/>
    </row>
    <row r="63" ht="30" customHeight="1" s="80">
      <c r="A63" s="159" t="n"/>
      <c r="B63" s="155" t="inlineStr">
        <is>
          <t>HGC-Lib-26084827</t>
        </is>
      </c>
      <c r="C63" s="155" t="n">
        <v>46.39</v>
      </c>
      <c r="D63" s="156" t="n">
        <v>5</v>
      </c>
      <c r="E63" s="157" t="n">
        <v>0.676</v>
      </c>
      <c r="F63" s="157">
        <f>ROUND(E63/C63*G119,3)</f>
        <v/>
      </c>
      <c r="G63" s="155" t="inlineStr">
        <is>
          <t>有参转录组（RNA-seq）</t>
        </is>
      </c>
      <c r="H63" s="155" t="inlineStr">
        <is>
          <t>广州奥智生物科技有限公司</t>
        </is>
      </c>
      <c r="I63" s="157" t="n"/>
      <c r="J63" s="155" t="n"/>
      <c r="K63" s="155" t="inlineStr">
        <is>
          <t>26.7.7-ZM_C1</t>
        </is>
      </c>
      <c r="L63" s="77" t="n"/>
      <c r="M63" s="77" t="n"/>
      <c r="N63" s="77" t="n">
        <v>46.39</v>
      </c>
      <c r="O63" s="77" t="n"/>
      <c r="P63" s="77" t="n"/>
      <c r="Q63" s="77" t="n"/>
    </row>
    <row r="64" ht="30" customHeight="1" s="80">
      <c r="A64" s="159" t="n"/>
      <c r="B64" s="155" t="inlineStr">
        <is>
          <t>HGC-Lib-26084836</t>
        </is>
      </c>
      <c r="C64" s="155" t="n">
        <v>27.82</v>
      </c>
      <c r="D64" s="156" t="n">
        <v>5</v>
      </c>
      <c r="E64" s="157" t="n">
        <v>0.676</v>
      </c>
      <c r="F64" s="157">
        <f>ROUND(E64/C64*G119,3)</f>
        <v/>
      </c>
      <c r="G64" s="155" t="inlineStr">
        <is>
          <t>有参转录组（RNA-seq）</t>
        </is>
      </c>
      <c r="H64" s="155" t="inlineStr">
        <is>
          <t>广州奥智生物科技有限公司</t>
        </is>
      </c>
      <c r="I64" s="157" t="n"/>
      <c r="J64" s="155" t="n"/>
      <c r="K64" s="155" t="inlineStr">
        <is>
          <t>26.7.7-ZM_C10</t>
        </is>
      </c>
      <c r="L64" s="77" t="n"/>
      <c r="M64" s="77" t="n"/>
      <c r="N64" s="77" t="n">
        <v>27.82</v>
      </c>
      <c r="O64" s="77" t="n"/>
      <c r="P64" s="77" t="n"/>
      <c r="Q64" s="77" t="n"/>
    </row>
    <row r="65" ht="30" customHeight="1" s="80">
      <c r="A65" s="159" t="n"/>
      <c r="B65" s="155" t="inlineStr">
        <is>
          <t>HGC-Lib-26084837</t>
        </is>
      </c>
      <c r="C65" s="155" t="n">
        <v>42.7</v>
      </c>
      <c r="D65" s="156" t="n">
        <v>5</v>
      </c>
      <c r="E65" s="157" t="n">
        <v>0.676</v>
      </c>
      <c r="F65" s="157">
        <f>ROUND(E65/C65*G119,3)</f>
        <v/>
      </c>
      <c r="G65" s="155" t="inlineStr">
        <is>
          <t>有参转录组（RNA-seq）</t>
        </is>
      </c>
      <c r="H65" s="155" t="inlineStr">
        <is>
          <t>广州奥智生物科技有限公司</t>
        </is>
      </c>
      <c r="I65" s="157" t="n"/>
      <c r="J65" s="155" t="n"/>
      <c r="K65" s="155" t="inlineStr">
        <is>
          <t>26.7.7-ZM_C11</t>
        </is>
      </c>
      <c r="L65" s="77" t="n"/>
      <c r="M65" s="77" t="n"/>
      <c r="N65" s="77" t="n">
        <v>42.7</v>
      </c>
      <c r="O65" s="77" t="n"/>
      <c r="P65" s="77" t="n"/>
      <c r="Q65" s="77" t="n"/>
    </row>
    <row r="66" ht="30" customHeight="1" s="80">
      <c r="A66" s="159" t="n"/>
      <c r="B66" s="155" t="inlineStr">
        <is>
          <t>HGC-Lib-26084838</t>
        </is>
      </c>
      <c r="C66" s="155" t="n">
        <v>31.43</v>
      </c>
      <c r="D66" s="156" t="n">
        <v>5</v>
      </c>
      <c r="E66" s="157" t="n">
        <v>0.676</v>
      </c>
      <c r="F66" s="157">
        <f>ROUND(E66/C66*G119,3)</f>
        <v/>
      </c>
      <c r="G66" s="155" t="inlineStr">
        <is>
          <t>有参转录组（RNA-seq）</t>
        </is>
      </c>
      <c r="H66" s="155" t="inlineStr">
        <is>
          <t>广州奥智生物科技有限公司</t>
        </is>
      </c>
      <c r="I66" s="157" t="n"/>
      <c r="J66" s="155" t="n"/>
      <c r="K66" s="155" t="inlineStr">
        <is>
          <t>26.7.7-ZM_C12</t>
        </is>
      </c>
      <c r="L66" s="77" t="n"/>
      <c r="M66" s="77" t="n"/>
      <c r="N66" s="77" t="n">
        <v>31.43</v>
      </c>
      <c r="O66" s="77" t="n"/>
      <c r="P66" s="77" t="n"/>
      <c r="Q66" s="77" t="n"/>
    </row>
    <row r="67" ht="30" customHeight="1" s="80">
      <c r="A67" s="159" t="n"/>
      <c r="B67" s="155" t="inlineStr">
        <is>
          <t>HGC-Lib-26084828</t>
        </is>
      </c>
      <c r="C67" s="155" t="n">
        <v>45.65</v>
      </c>
      <c r="D67" s="156" t="n">
        <v>5</v>
      </c>
      <c r="E67" s="157" t="n">
        <v>0.676</v>
      </c>
      <c r="F67" s="157">
        <f>ROUND(E67/C67*G119,3)</f>
        <v/>
      </c>
      <c r="G67" s="155" t="inlineStr">
        <is>
          <t>有参转录组（RNA-seq）</t>
        </is>
      </c>
      <c r="H67" s="155" t="inlineStr">
        <is>
          <t>广州奥智生物科技有限公司</t>
        </is>
      </c>
      <c r="I67" s="157" t="n"/>
      <c r="J67" s="155" t="n"/>
      <c r="K67" s="155" t="inlineStr">
        <is>
          <t>26.7.7-ZM_C2</t>
        </is>
      </c>
      <c r="L67" s="77" t="n"/>
      <c r="M67" s="77" t="n"/>
      <c r="N67" s="77" t="n">
        <v>45.65</v>
      </c>
      <c r="O67" s="77" t="n"/>
      <c r="P67" s="77" t="n"/>
      <c r="Q67" s="77" t="n"/>
    </row>
    <row r="68" ht="30" customHeight="1" s="80">
      <c r="A68" s="159" t="n"/>
      <c r="B68" s="155" t="inlineStr">
        <is>
          <t>HGC-Lib-26084832</t>
        </is>
      </c>
      <c r="C68" s="155" t="n">
        <v>38.78</v>
      </c>
      <c r="D68" s="156" t="n">
        <v>5</v>
      </c>
      <c r="E68" s="157" t="n">
        <v>0.676</v>
      </c>
      <c r="F68" s="157">
        <f>ROUND(E68/C68*G119,3)</f>
        <v/>
      </c>
      <c r="G68" s="155" t="inlineStr">
        <is>
          <t>有参转录组（RNA-seq）</t>
        </is>
      </c>
      <c r="H68" s="155" t="inlineStr">
        <is>
          <t>广州奥智生物科技有限公司</t>
        </is>
      </c>
      <c r="I68" s="157" t="n"/>
      <c r="J68" s="155" t="n"/>
      <c r="K68" s="155" t="inlineStr">
        <is>
          <t>26.7.7-ZM_C6</t>
        </is>
      </c>
      <c r="L68" s="77" t="n"/>
      <c r="M68" s="77" t="n"/>
      <c r="N68" s="77" t="n">
        <v>38.78</v>
      </c>
      <c r="O68" s="77" t="n"/>
      <c r="P68" s="77" t="n"/>
      <c r="Q68" s="77" t="n"/>
    </row>
    <row r="69" ht="30" customHeight="1" s="80">
      <c r="A69" s="159" t="n"/>
      <c r="B69" s="155" t="inlineStr">
        <is>
          <t>HGC-Lib-26084833</t>
        </is>
      </c>
      <c r="C69" s="155" t="n">
        <v>41.99</v>
      </c>
      <c r="D69" s="156" t="n">
        <v>5</v>
      </c>
      <c r="E69" s="157" t="n">
        <v>0.676</v>
      </c>
      <c r="F69" s="157">
        <f>ROUND(E69/C69*G119,3)</f>
        <v/>
      </c>
      <c r="G69" s="155" t="inlineStr">
        <is>
          <t>有参转录组（RNA-seq）</t>
        </is>
      </c>
      <c r="H69" s="155" t="inlineStr">
        <is>
          <t>广州奥智生物科技有限公司</t>
        </is>
      </c>
      <c r="I69" s="157" t="n"/>
      <c r="J69" s="155" t="n"/>
      <c r="K69" s="155" t="inlineStr">
        <is>
          <t>26.7.7-ZM_C7</t>
        </is>
      </c>
      <c r="L69" s="77" t="n"/>
      <c r="M69" s="77" t="n"/>
      <c r="N69" s="77" t="n">
        <v>41.99</v>
      </c>
      <c r="O69" s="77" t="n"/>
      <c r="P69" s="77" t="n"/>
      <c r="Q69" s="77" t="n"/>
    </row>
    <row r="70" ht="30" customHeight="1" s="80">
      <c r="A70" s="159" t="n"/>
      <c r="B70" s="155" t="inlineStr">
        <is>
          <t>HGC-Lib-26084834</t>
        </is>
      </c>
      <c r="C70" s="155" t="n">
        <v>37.3</v>
      </c>
      <c r="D70" s="156" t="n">
        <v>5</v>
      </c>
      <c r="E70" s="157" t="n">
        <v>0.676</v>
      </c>
      <c r="F70" s="157">
        <f>ROUND(E70/C70*G119,3)</f>
        <v/>
      </c>
      <c r="G70" s="155" t="inlineStr">
        <is>
          <t>有参转录组（RNA-seq）</t>
        </is>
      </c>
      <c r="H70" s="155" t="inlineStr">
        <is>
          <t>广州奥智生物科技有限公司</t>
        </is>
      </c>
      <c r="I70" s="157" t="n"/>
      <c r="J70" s="155" t="n"/>
      <c r="K70" s="155" t="inlineStr">
        <is>
          <t>26.7.7-ZM_C8</t>
        </is>
      </c>
      <c r="L70" s="77" t="n"/>
      <c r="M70" s="77" t="n"/>
      <c r="N70" s="77" t="n">
        <v>37.3</v>
      </c>
      <c r="O70" s="77" t="n"/>
      <c r="P70" s="77" t="n"/>
      <c r="Q70" s="77" t="n"/>
    </row>
    <row r="71" ht="30" customHeight="1" s="80">
      <c r="A71" s="159" t="n"/>
      <c r="B71" s="155" t="inlineStr">
        <is>
          <t>HGC-Lib-26084835</t>
        </is>
      </c>
      <c r="C71" s="155" t="n">
        <v>19.21</v>
      </c>
      <c r="D71" s="156" t="n">
        <v>5</v>
      </c>
      <c r="E71" s="157" t="n">
        <v>0.676</v>
      </c>
      <c r="F71" s="157">
        <f>ROUND(E71/C71*G119,3)</f>
        <v/>
      </c>
      <c r="G71" s="155" t="inlineStr">
        <is>
          <t>有参转录组（RNA-seq）</t>
        </is>
      </c>
      <c r="H71" s="155" t="inlineStr">
        <is>
          <t>广州奥智生物科技有限公司</t>
        </is>
      </c>
      <c r="I71" s="157" t="n"/>
      <c r="J71" s="155" t="n"/>
      <c r="K71" s="155" t="inlineStr">
        <is>
          <t>26.7.7-ZM_C9</t>
        </is>
      </c>
      <c r="L71" s="77" t="n"/>
      <c r="M71" s="77" t="n"/>
      <c r="N71" s="77" t="n">
        <v>19.21</v>
      </c>
      <c r="O71" s="77" t="n"/>
      <c r="P71" s="77" t="n"/>
      <c r="Q71" s="77" t="n"/>
    </row>
    <row r="72" ht="30" customHeight="1" s="80">
      <c r="A72" s="159" t="n"/>
      <c r="B72" s="155" t="inlineStr">
        <is>
          <t>HGC-Lib-26084839</t>
        </is>
      </c>
      <c r="C72" s="155" t="n">
        <v>24.11</v>
      </c>
      <c r="D72" s="156" t="n">
        <v>5</v>
      </c>
      <c r="E72" s="157" t="n">
        <v>0.676</v>
      </c>
      <c r="F72" s="157">
        <f>ROUND(E72/C72*G119,3)</f>
        <v/>
      </c>
      <c r="G72" s="155" t="inlineStr">
        <is>
          <t>有参转录组（RNA-seq）</t>
        </is>
      </c>
      <c r="H72" s="155" t="inlineStr">
        <is>
          <t>广州奥智生物科技有限公司</t>
        </is>
      </c>
      <c r="I72" s="157" t="n"/>
      <c r="J72" s="155" t="n"/>
      <c r="K72" s="155" t="inlineStr">
        <is>
          <t>26.7.7-ZM_D1</t>
        </is>
      </c>
      <c r="L72" s="77" t="n"/>
      <c r="M72" s="77" t="n"/>
      <c r="N72" s="77" t="n">
        <v>24.11</v>
      </c>
      <c r="O72" s="77" t="n"/>
      <c r="P72" s="77" t="n"/>
      <c r="Q72" s="77" t="n"/>
    </row>
    <row r="73" ht="30" customHeight="1" s="80">
      <c r="A73" s="159" t="n"/>
      <c r="B73" s="155" t="inlineStr">
        <is>
          <t>HGC-Lib-26084849</t>
        </is>
      </c>
      <c r="C73" s="155" t="n">
        <v>30.16</v>
      </c>
      <c r="D73" s="156" t="n">
        <v>5</v>
      </c>
      <c r="E73" s="157" t="n">
        <v>0.676</v>
      </c>
      <c r="F73" s="157">
        <f>ROUND(E73/C73*G119,3)</f>
        <v/>
      </c>
      <c r="G73" s="155" t="inlineStr">
        <is>
          <t>有参转录组（RNA-seq）</t>
        </is>
      </c>
      <c r="H73" s="155" t="inlineStr">
        <is>
          <t>广州奥智生物科技有限公司</t>
        </is>
      </c>
      <c r="I73" s="157" t="n"/>
      <c r="J73" s="155" t="n"/>
      <c r="K73" s="155" t="inlineStr">
        <is>
          <t>26.7.7-ZM_D11</t>
        </is>
      </c>
      <c r="L73" s="77" t="n"/>
      <c r="M73" s="77" t="n"/>
      <c r="N73" s="77" t="n">
        <v>30.16</v>
      </c>
      <c r="O73" s="77" t="n"/>
      <c r="P73" s="77" t="n"/>
      <c r="Q73" s="77" t="n"/>
    </row>
    <row r="74" ht="30" customHeight="1" s="80">
      <c r="A74" s="159" t="n"/>
      <c r="B74" s="155" t="inlineStr">
        <is>
          <t>HGC-Lib-26084850</t>
        </is>
      </c>
      <c r="C74" s="155" t="n">
        <v>28.77</v>
      </c>
      <c r="D74" s="156" t="n">
        <v>5</v>
      </c>
      <c r="E74" s="157" t="n">
        <v>0.676</v>
      </c>
      <c r="F74" s="157">
        <f>ROUND(E74/C74*G119,3)</f>
        <v/>
      </c>
      <c r="G74" s="155" t="inlineStr">
        <is>
          <t>有参转录组（RNA-seq）</t>
        </is>
      </c>
      <c r="H74" s="155" t="inlineStr">
        <is>
          <t>广州奥智生物科技有限公司</t>
        </is>
      </c>
      <c r="I74" s="157" t="n"/>
      <c r="J74" s="155" t="n"/>
      <c r="K74" s="155" t="inlineStr">
        <is>
          <t>26.7.7-ZM_D12</t>
        </is>
      </c>
      <c r="L74" s="77" t="n"/>
      <c r="M74" s="77" t="n"/>
      <c r="N74" s="77" t="n">
        <v>28.77</v>
      </c>
      <c r="O74" s="77" t="n"/>
      <c r="P74" s="77" t="n"/>
      <c r="Q74" s="77" t="n"/>
    </row>
    <row r="75" ht="30" customHeight="1" s="80">
      <c r="A75" s="159" t="n"/>
      <c r="B75" s="155" t="inlineStr">
        <is>
          <t>HGC-Lib-26084840</t>
        </is>
      </c>
      <c r="C75" s="155" t="n">
        <v>14.8</v>
      </c>
      <c r="D75" s="156" t="n">
        <v>5</v>
      </c>
      <c r="E75" s="157" t="n">
        <v>0.676</v>
      </c>
      <c r="F75" s="157">
        <f>ROUND(E75/C75*G119,3)</f>
        <v/>
      </c>
      <c r="G75" s="155" t="inlineStr">
        <is>
          <t>有参转录组（RNA-seq）</t>
        </is>
      </c>
      <c r="H75" s="155" t="inlineStr">
        <is>
          <t>广州奥智生物科技有限公司</t>
        </is>
      </c>
      <c r="I75" s="157" t="n"/>
      <c r="J75" s="155" t="n"/>
      <c r="K75" s="155" t="inlineStr">
        <is>
          <t>26.7.7-ZM_D2</t>
        </is>
      </c>
      <c r="L75" s="77" t="n"/>
      <c r="M75" s="77" t="n"/>
      <c r="N75" s="77" t="n">
        <v>14.8</v>
      </c>
      <c r="O75" s="77" t="n"/>
      <c r="P75" s="77" t="n"/>
      <c r="Q75" s="77" t="n"/>
    </row>
    <row r="76" ht="30" customHeight="1" s="80">
      <c r="A76" s="159" t="n"/>
      <c r="B76" s="155" t="inlineStr">
        <is>
          <t>HGC-Lib-26084841</t>
        </is>
      </c>
      <c r="C76" s="155" t="n">
        <v>18.5</v>
      </c>
      <c r="D76" s="156" t="n">
        <v>5</v>
      </c>
      <c r="E76" s="157" t="n">
        <v>0.676</v>
      </c>
      <c r="F76" s="157">
        <f>ROUND(E76/C76*G119,3)</f>
        <v/>
      </c>
      <c r="G76" s="155" t="inlineStr">
        <is>
          <t>有参转录组（RNA-seq）</t>
        </is>
      </c>
      <c r="H76" s="155" t="inlineStr">
        <is>
          <t>广州奥智生物科技有限公司</t>
        </is>
      </c>
      <c r="I76" s="157" t="n"/>
      <c r="J76" s="155" t="n"/>
      <c r="K76" s="155" t="inlineStr">
        <is>
          <t>26.7.7-ZM_D3</t>
        </is>
      </c>
      <c r="L76" s="77" t="n"/>
      <c r="M76" s="77" t="n"/>
      <c r="N76" s="77" t="n">
        <v>18.5</v>
      </c>
      <c r="O76" s="77" t="n"/>
      <c r="P76" s="77" t="n"/>
      <c r="Q76" s="77" t="n"/>
    </row>
    <row r="77" ht="30" customHeight="1" s="80">
      <c r="A77" s="159" t="n"/>
      <c r="B77" s="155" t="inlineStr">
        <is>
          <t>HGC-Lib-26084843</t>
        </is>
      </c>
      <c r="C77" s="155" t="n">
        <v>23.95</v>
      </c>
      <c r="D77" s="156" t="n">
        <v>5</v>
      </c>
      <c r="E77" s="157" t="n">
        <v>0.676</v>
      </c>
      <c r="F77" s="157">
        <f>ROUND(E77/C77*G119,3)</f>
        <v/>
      </c>
      <c r="G77" s="155" t="inlineStr">
        <is>
          <t>有参转录组（RNA-seq）</t>
        </is>
      </c>
      <c r="H77" s="155" t="inlineStr">
        <is>
          <t>广州奥智生物科技有限公司</t>
        </is>
      </c>
      <c r="I77" s="157" t="n"/>
      <c r="J77" s="155" t="n"/>
      <c r="K77" s="155" t="inlineStr">
        <is>
          <t>26.7.7-ZM_D5</t>
        </is>
      </c>
      <c r="L77" s="77" t="n"/>
      <c r="M77" s="77" t="n"/>
      <c r="N77" s="77" t="n">
        <v>23.95</v>
      </c>
      <c r="O77" s="77" t="n"/>
      <c r="P77" s="77" t="n"/>
      <c r="Q77" s="77" t="n"/>
    </row>
    <row r="78" ht="30" customHeight="1" s="80">
      <c r="A78" s="159" t="n"/>
      <c r="B78" s="155" t="inlineStr">
        <is>
          <t>HGC-Lib-26084844</t>
        </is>
      </c>
      <c r="C78" s="155" t="n">
        <v>43.77</v>
      </c>
      <c r="D78" s="156" t="n">
        <v>5</v>
      </c>
      <c r="E78" s="157" t="n">
        <v>0.676</v>
      </c>
      <c r="F78" s="157">
        <f>ROUND(E78/C78*G119,3)</f>
        <v/>
      </c>
      <c r="G78" s="155" t="inlineStr">
        <is>
          <t>有参转录组（RNA-seq）</t>
        </is>
      </c>
      <c r="H78" s="155" t="inlineStr">
        <is>
          <t>广州奥智生物科技有限公司</t>
        </is>
      </c>
      <c r="I78" s="157" t="n"/>
      <c r="J78" s="155" t="n"/>
      <c r="K78" s="155" t="inlineStr">
        <is>
          <t>26.7.7-ZM_D6</t>
        </is>
      </c>
      <c r="L78" s="77" t="n"/>
      <c r="M78" s="77" t="n"/>
      <c r="N78" s="77" t="n">
        <v>43.77</v>
      </c>
      <c r="O78" s="77" t="n"/>
      <c r="P78" s="77" t="n"/>
      <c r="Q78" s="77" t="n"/>
    </row>
    <row r="79" ht="30" customHeight="1" s="80">
      <c r="A79" s="159" t="n"/>
      <c r="B79" s="155" t="inlineStr">
        <is>
          <t>HGC-Lib-26084845</t>
        </is>
      </c>
      <c r="C79" s="155" t="n">
        <v>12.87</v>
      </c>
      <c r="D79" s="156" t="n">
        <v>5</v>
      </c>
      <c r="E79" s="157" t="n">
        <v>0.676</v>
      </c>
      <c r="F79" s="157">
        <f>ROUND(E79/C79*G119,3)</f>
        <v/>
      </c>
      <c r="G79" s="155" t="inlineStr">
        <is>
          <t>有参转录组（RNA-seq）</t>
        </is>
      </c>
      <c r="H79" s="155" t="inlineStr">
        <is>
          <t>广州奥智生物科技有限公司</t>
        </is>
      </c>
      <c r="I79" s="157" t="n"/>
      <c r="J79" s="155" t="n"/>
      <c r="K79" s="155" t="inlineStr">
        <is>
          <t>26.7.7-ZM_D7</t>
        </is>
      </c>
      <c r="L79" s="77" t="n"/>
      <c r="M79" s="77" t="n"/>
      <c r="N79" s="77" t="n">
        <v>12.87</v>
      </c>
      <c r="O79" s="77" t="n"/>
      <c r="P79" s="77" t="n"/>
      <c r="Q79" s="77" t="n"/>
    </row>
    <row r="80" ht="30" customHeight="1" s="80">
      <c r="A80" s="159" t="n"/>
      <c r="B80" s="155" t="inlineStr">
        <is>
          <t>HGC-Lib-26084846</t>
        </is>
      </c>
      <c r="C80" s="155" t="n">
        <v>27.02</v>
      </c>
      <c r="D80" s="156" t="n">
        <v>5</v>
      </c>
      <c r="E80" s="157" t="n">
        <v>0.676</v>
      </c>
      <c r="F80" s="157">
        <f>ROUND(E80/C80*G119,3)</f>
        <v/>
      </c>
      <c r="G80" s="155" t="inlineStr">
        <is>
          <t>有参转录组（RNA-seq）</t>
        </is>
      </c>
      <c r="H80" s="155" t="inlineStr">
        <is>
          <t>广州奥智生物科技有限公司</t>
        </is>
      </c>
      <c r="I80" s="157" t="n"/>
      <c r="J80" s="155" t="n"/>
      <c r="K80" s="155" t="inlineStr">
        <is>
          <t>26.7.7-ZM_D8</t>
        </is>
      </c>
      <c r="L80" s="77" t="n"/>
      <c r="M80" s="77" t="n"/>
      <c r="N80" s="77" t="n">
        <v>27.02</v>
      </c>
      <c r="O80" s="77" t="n"/>
      <c r="P80" s="77" t="n"/>
      <c r="Q80" s="77" t="n"/>
    </row>
    <row r="81" ht="30" customHeight="1" s="80">
      <c r="A81" s="159" t="n"/>
      <c r="B81" s="155" t="inlineStr">
        <is>
          <t>HGC-Lib-26084847</t>
        </is>
      </c>
      <c r="C81" s="155" t="n">
        <v>23.8</v>
      </c>
      <c r="D81" s="156" t="n">
        <v>5</v>
      </c>
      <c r="E81" s="157" t="n">
        <v>0.676</v>
      </c>
      <c r="F81" s="157">
        <f>ROUND(E81/C81*G119,3)</f>
        <v/>
      </c>
      <c r="G81" s="155" t="inlineStr">
        <is>
          <t>有参转录组（RNA-seq）</t>
        </is>
      </c>
      <c r="H81" s="155" t="inlineStr">
        <is>
          <t>广州奥智生物科技有限公司</t>
        </is>
      </c>
      <c r="I81" s="157" t="n"/>
      <c r="J81" s="155" t="n"/>
      <c r="K81" s="155" t="inlineStr">
        <is>
          <t>26.7.7-ZM_D9</t>
        </is>
      </c>
      <c r="L81" s="77" t="n"/>
      <c r="M81" s="77" t="n"/>
      <c r="N81" s="77" t="n">
        <v>23.8</v>
      </c>
      <c r="O81" s="77" t="n"/>
      <c r="P81" s="77" t="n"/>
      <c r="Q81" s="77" t="n"/>
    </row>
    <row r="82" ht="30" customHeight="1" s="80">
      <c r="A82" s="159" t="n"/>
      <c r="B82" s="155" t="inlineStr">
        <is>
          <t>HGC-Lib-26084851</t>
        </is>
      </c>
      <c r="C82" s="155" t="n">
        <v>32.48</v>
      </c>
      <c r="D82" s="156" t="n">
        <v>5</v>
      </c>
      <c r="E82" s="157" t="n">
        <v>0.676</v>
      </c>
      <c r="F82" s="157">
        <f>ROUND(E82/C82*G119,3)</f>
        <v/>
      </c>
      <c r="G82" s="155" t="inlineStr">
        <is>
          <t>有参转录组（RNA-seq）</t>
        </is>
      </c>
      <c r="H82" s="155" t="inlineStr">
        <is>
          <t>广州奥智生物科技有限公司</t>
        </is>
      </c>
      <c r="I82" s="157" t="n"/>
      <c r="J82" s="155" t="n"/>
      <c r="K82" s="155" t="inlineStr">
        <is>
          <t>26.7.7-ZM_E1</t>
        </is>
      </c>
      <c r="L82" s="77" t="n"/>
      <c r="M82" s="77" t="n"/>
      <c r="N82" s="77" t="n">
        <v>32.48</v>
      </c>
      <c r="O82" s="77" t="n"/>
      <c r="P82" s="77" t="n"/>
      <c r="Q82" s="77" t="n"/>
    </row>
    <row r="83" ht="30" customHeight="1" s="80">
      <c r="A83" s="159" t="n"/>
      <c r="B83" s="155" t="inlineStr">
        <is>
          <t>HGC-Lib-26084860</t>
        </is>
      </c>
      <c r="C83" s="155" t="n">
        <v>31.78</v>
      </c>
      <c r="D83" s="156" t="n">
        <v>5</v>
      </c>
      <c r="E83" s="157" t="n">
        <v>0.676</v>
      </c>
      <c r="F83" s="157">
        <f>ROUND(E83/C83*G119,3)</f>
        <v/>
      </c>
      <c r="G83" s="155" t="inlineStr">
        <is>
          <t>有参转录组（RNA-seq）</t>
        </is>
      </c>
      <c r="H83" s="155" t="inlineStr">
        <is>
          <t>广州奥智生物科技有限公司</t>
        </is>
      </c>
      <c r="I83" s="157" t="n"/>
      <c r="J83" s="155" t="n"/>
      <c r="K83" s="155" t="inlineStr">
        <is>
          <t>26.7.7-ZM_E10</t>
        </is>
      </c>
      <c r="L83" s="77" t="n"/>
      <c r="M83" s="77" t="n"/>
      <c r="N83" s="77" t="n">
        <v>31.78</v>
      </c>
      <c r="O83" s="77" t="n"/>
      <c r="P83" s="77" t="n"/>
      <c r="Q83" s="77" t="n"/>
    </row>
    <row r="84" ht="30" customHeight="1" s="80">
      <c r="A84" s="159" t="n"/>
      <c r="B84" s="155" t="inlineStr">
        <is>
          <t>HGC-Lib-26084861</t>
        </is>
      </c>
      <c r="C84" s="155" t="n">
        <v>21.88</v>
      </c>
      <c r="D84" s="156" t="n">
        <v>5</v>
      </c>
      <c r="E84" s="157" t="n">
        <v>0.676</v>
      </c>
      <c r="F84" s="157">
        <f>ROUND(E84/C84*G119,3)</f>
        <v/>
      </c>
      <c r="G84" s="155" t="inlineStr">
        <is>
          <t>有参转录组（RNA-seq）</t>
        </is>
      </c>
      <c r="H84" s="155" t="inlineStr">
        <is>
          <t>广州奥智生物科技有限公司</t>
        </is>
      </c>
      <c r="I84" s="157" t="n"/>
      <c r="J84" s="155" t="n"/>
      <c r="K84" s="155" t="inlineStr">
        <is>
          <t>26.7.7-ZM_E11</t>
        </is>
      </c>
      <c r="L84" s="77" t="n"/>
      <c r="M84" s="77" t="n"/>
      <c r="N84" s="77" t="n">
        <v>21.88</v>
      </c>
      <c r="O84" s="77" t="n"/>
      <c r="P84" s="77" t="n"/>
      <c r="Q84" s="77" t="n"/>
    </row>
    <row r="85" ht="30" customHeight="1" s="80">
      <c r="A85" s="159" t="n"/>
      <c r="B85" s="155" t="inlineStr">
        <is>
          <t>HGC-Lib-26084862</t>
        </is>
      </c>
      <c r="C85" s="155" t="n">
        <v>19.2</v>
      </c>
      <c r="D85" s="156" t="n">
        <v>5</v>
      </c>
      <c r="E85" s="157" t="n">
        <v>0.676</v>
      </c>
      <c r="F85" s="157">
        <f>ROUND(E85/C85*G119,3)</f>
        <v/>
      </c>
      <c r="G85" s="155" t="inlineStr">
        <is>
          <t>有参转录组（RNA-seq）</t>
        </is>
      </c>
      <c r="H85" s="155" t="inlineStr">
        <is>
          <t>广州奥智生物科技有限公司</t>
        </is>
      </c>
      <c r="I85" s="157" t="n"/>
      <c r="J85" s="155" t="n"/>
      <c r="K85" s="155" t="inlineStr">
        <is>
          <t>26.7.7-ZM_E12</t>
        </is>
      </c>
      <c r="L85" s="77" t="n"/>
      <c r="M85" s="77" t="n"/>
      <c r="N85" s="77" t="n">
        <v>19.2</v>
      </c>
      <c r="O85" s="77" t="n"/>
      <c r="P85" s="77" t="n"/>
      <c r="Q85" s="77" t="n"/>
    </row>
    <row r="86" ht="30" customHeight="1" s="80">
      <c r="A86" s="159" t="n"/>
      <c r="B86" s="155" t="inlineStr">
        <is>
          <t>HGC-Lib-26084852</t>
        </is>
      </c>
      <c r="C86" s="155" t="n">
        <v>33.56</v>
      </c>
      <c r="D86" s="156" t="n">
        <v>5</v>
      </c>
      <c r="E86" s="157" t="n">
        <v>0.676</v>
      </c>
      <c r="F86" s="157">
        <f>ROUND(E86/C86*G119,3)</f>
        <v/>
      </c>
      <c r="G86" s="155" t="inlineStr">
        <is>
          <t>有参转录组（RNA-seq）</t>
        </is>
      </c>
      <c r="H86" s="155" t="inlineStr">
        <is>
          <t>广州奥智生物科技有限公司</t>
        </is>
      </c>
      <c r="I86" s="157" t="n"/>
      <c r="J86" s="155" t="n"/>
      <c r="K86" s="155" t="inlineStr">
        <is>
          <t>26.7.7-ZM_E2</t>
        </is>
      </c>
      <c r="L86" s="77" t="n"/>
      <c r="M86" s="77" t="n"/>
      <c r="N86" s="77" t="n">
        <v>33.56</v>
      </c>
      <c r="O86" s="77" t="n"/>
      <c r="P86" s="77" t="n"/>
      <c r="Q86" s="77" t="n"/>
    </row>
    <row r="87" ht="30" customHeight="1" s="80">
      <c r="A87" s="159" t="n"/>
      <c r="B87" s="155" t="inlineStr">
        <is>
          <t>HGC-Lib-26084853</t>
        </is>
      </c>
      <c r="C87" s="155" t="n">
        <v>37.96</v>
      </c>
      <c r="D87" s="156" t="n">
        <v>5</v>
      </c>
      <c r="E87" s="157" t="n">
        <v>0.676</v>
      </c>
      <c r="F87" s="157">
        <f>ROUND(E87/C87*G119,3)</f>
        <v/>
      </c>
      <c r="G87" s="155" t="inlineStr">
        <is>
          <t>有参转录组（RNA-seq）</t>
        </is>
      </c>
      <c r="H87" s="155" t="inlineStr">
        <is>
          <t>广州奥智生物科技有限公司</t>
        </is>
      </c>
      <c r="I87" s="157" t="n"/>
      <c r="J87" s="155" t="n"/>
      <c r="K87" s="155" t="inlineStr">
        <is>
          <t>26.7.7-ZM_E3</t>
        </is>
      </c>
      <c r="L87" s="77" t="n"/>
      <c r="M87" s="77" t="n"/>
      <c r="N87" s="77" t="n">
        <v>37.96</v>
      </c>
      <c r="O87" s="77" t="n"/>
      <c r="P87" s="77" t="n"/>
      <c r="Q87" s="77" t="n"/>
    </row>
    <row r="88" ht="30" customHeight="1" s="80">
      <c r="A88" s="159" t="n"/>
      <c r="B88" s="155" t="inlineStr">
        <is>
          <t>HGC-Lib-26084854</t>
        </is>
      </c>
      <c r="C88" s="155" t="n">
        <v>27</v>
      </c>
      <c r="D88" s="156" t="n">
        <v>5</v>
      </c>
      <c r="E88" s="157" t="n">
        <v>0.676</v>
      </c>
      <c r="F88" s="157">
        <f>ROUND(E88/C88*G119,3)</f>
        <v/>
      </c>
      <c r="G88" s="155" t="inlineStr">
        <is>
          <t>有参转录组（RNA-seq）</t>
        </is>
      </c>
      <c r="H88" s="155" t="inlineStr">
        <is>
          <t>广州奥智生物科技有限公司</t>
        </is>
      </c>
      <c r="I88" s="157" t="n"/>
      <c r="J88" s="155" t="n"/>
      <c r="K88" s="155" t="inlineStr">
        <is>
          <t>26.7.7-ZM_E4</t>
        </is>
      </c>
      <c r="L88" s="77" t="n"/>
      <c r="M88" s="77" t="n"/>
      <c r="N88" s="77" t="n">
        <v>27</v>
      </c>
      <c r="O88" s="77" t="n"/>
      <c r="P88" s="77" t="n"/>
      <c r="Q88" s="77" t="n"/>
    </row>
    <row r="89" ht="30" customHeight="1" s="80">
      <c r="A89" s="159" t="n"/>
      <c r="B89" s="155" t="inlineStr">
        <is>
          <t>HGC-Lib-26084855</t>
        </is>
      </c>
      <c r="C89" s="155" t="n">
        <v>36.18</v>
      </c>
      <c r="D89" s="156" t="n">
        <v>5</v>
      </c>
      <c r="E89" s="157" t="n">
        <v>0.676</v>
      </c>
      <c r="F89" s="157">
        <f>ROUND(E89/C89*G119,3)</f>
        <v/>
      </c>
      <c r="G89" s="155" t="inlineStr">
        <is>
          <t>有参转录组（RNA-seq）</t>
        </is>
      </c>
      <c r="H89" s="155" t="inlineStr">
        <is>
          <t>广州奥智生物科技有限公司</t>
        </is>
      </c>
      <c r="I89" s="157" t="n"/>
      <c r="J89" s="155" t="n"/>
      <c r="K89" s="155" t="inlineStr">
        <is>
          <t>26.7.7-ZM_E5</t>
        </is>
      </c>
      <c r="L89" s="77" t="n"/>
      <c r="M89" s="77" t="n"/>
      <c r="N89" s="77" t="n">
        <v>36.18</v>
      </c>
      <c r="O89" s="77" t="n"/>
      <c r="P89" s="77" t="n"/>
      <c r="Q89" s="77" t="n"/>
    </row>
    <row r="90" ht="30" customHeight="1" s="80">
      <c r="A90" s="159" t="n"/>
      <c r="B90" s="155" t="inlineStr">
        <is>
          <t>HGC-Lib-26084856</t>
        </is>
      </c>
      <c r="C90" s="155" t="n">
        <v>32.69</v>
      </c>
      <c r="D90" s="156" t="n">
        <v>5</v>
      </c>
      <c r="E90" s="157" t="n">
        <v>0.676</v>
      </c>
      <c r="F90" s="157">
        <f>ROUND(E90/C90*G119,3)</f>
        <v/>
      </c>
      <c r="G90" s="155" t="inlineStr">
        <is>
          <t>有参转录组（RNA-seq）</t>
        </is>
      </c>
      <c r="H90" s="155" t="inlineStr">
        <is>
          <t>广州奥智生物科技有限公司</t>
        </is>
      </c>
      <c r="I90" s="157" t="n"/>
      <c r="J90" s="155" t="n"/>
      <c r="K90" s="155" t="inlineStr">
        <is>
          <t>26.7.7-ZM_E6</t>
        </is>
      </c>
      <c r="L90" s="77" t="n"/>
      <c r="M90" s="77" t="n"/>
      <c r="N90" s="77" t="n">
        <v>32.69</v>
      </c>
      <c r="O90" s="77" t="n"/>
      <c r="P90" s="77" t="n"/>
      <c r="Q90" s="77" t="n"/>
    </row>
    <row r="91" ht="30" customHeight="1" s="80">
      <c r="A91" s="159" t="n"/>
      <c r="B91" s="155" t="inlineStr">
        <is>
          <t>HGC-Lib-26084857</t>
        </is>
      </c>
      <c r="C91" s="155" t="n">
        <v>34.5</v>
      </c>
      <c r="D91" s="156" t="n">
        <v>5</v>
      </c>
      <c r="E91" s="157" t="n">
        <v>0.676</v>
      </c>
      <c r="F91" s="157">
        <f>ROUND(E91/C91*G119,3)</f>
        <v/>
      </c>
      <c r="G91" s="155" t="inlineStr">
        <is>
          <t>有参转录组（RNA-seq）</t>
        </is>
      </c>
      <c r="H91" s="155" t="inlineStr">
        <is>
          <t>广州奥智生物科技有限公司</t>
        </is>
      </c>
      <c r="I91" s="157" t="n"/>
      <c r="J91" s="155" t="n"/>
      <c r="K91" s="155" t="inlineStr">
        <is>
          <t>26.7.7-ZM_E7</t>
        </is>
      </c>
      <c r="L91" s="77" t="n"/>
      <c r="M91" s="77" t="n"/>
      <c r="N91" s="77" t="n">
        <v>34.5</v>
      </c>
      <c r="O91" s="77" t="n"/>
      <c r="P91" s="77" t="n"/>
      <c r="Q91" s="77" t="n"/>
    </row>
    <row r="92" ht="30" customHeight="1" s="80">
      <c r="A92" s="159" t="n"/>
      <c r="B92" s="155" t="inlineStr">
        <is>
          <t>HGC-Lib-26084859</t>
        </is>
      </c>
      <c r="C92" s="155" t="n">
        <v>46.61</v>
      </c>
      <c r="D92" s="156" t="n">
        <v>5</v>
      </c>
      <c r="E92" s="157" t="n">
        <v>0.676</v>
      </c>
      <c r="F92" s="157">
        <f>ROUND(E92/C92*G119,3)</f>
        <v/>
      </c>
      <c r="G92" s="155" t="inlineStr">
        <is>
          <t>有参转录组（RNA-seq）</t>
        </is>
      </c>
      <c r="H92" s="155" t="inlineStr">
        <is>
          <t>广州奥智生物科技有限公司</t>
        </is>
      </c>
      <c r="I92" s="157" t="n"/>
      <c r="J92" s="155" t="n"/>
      <c r="K92" s="155" t="inlineStr">
        <is>
          <t>26.7.7-ZM_E9</t>
        </is>
      </c>
      <c r="L92" s="77" t="n"/>
      <c r="M92" s="77" t="n"/>
      <c r="N92" s="77" t="n">
        <v>46.61</v>
      </c>
      <c r="O92" s="77" t="n"/>
      <c r="P92" s="77" t="n"/>
      <c r="Q92" s="77" t="n"/>
    </row>
    <row r="93" ht="30" customHeight="1" s="80">
      <c r="A93" s="159" t="n"/>
      <c r="B93" s="155" t="inlineStr">
        <is>
          <t>HGC-Lib-26084863</t>
        </is>
      </c>
      <c r="C93" s="155" t="n">
        <v>36.4</v>
      </c>
      <c r="D93" s="156" t="n">
        <v>5</v>
      </c>
      <c r="E93" s="157" t="n">
        <v>0.676</v>
      </c>
      <c r="F93" s="157">
        <f>ROUND(E93/C93*G119,3)</f>
        <v/>
      </c>
      <c r="G93" s="155" t="inlineStr">
        <is>
          <t>有参转录组（RNA-seq）</t>
        </is>
      </c>
      <c r="H93" s="155" t="inlineStr">
        <is>
          <t>广州奥智生物科技有限公司</t>
        </is>
      </c>
      <c r="I93" s="157" t="n"/>
      <c r="J93" s="155" t="n"/>
      <c r="K93" s="155" t="inlineStr">
        <is>
          <t>26.7.7-ZM_F1</t>
        </is>
      </c>
      <c r="L93" s="77" t="n"/>
      <c r="M93" s="77" t="n"/>
      <c r="N93" s="77" t="n">
        <v>36.4</v>
      </c>
      <c r="O93" s="77" t="n"/>
      <c r="P93" s="77" t="n"/>
      <c r="Q93" s="77" t="n"/>
    </row>
    <row r="94" ht="30" customHeight="1" s="80">
      <c r="A94" s="159" t="n"/>
      <c r="B94" s="155" t="inlineStr">
        <is>
          <t>HGC-Lib-26084971</t>
        </is>
      </c>
      <c r="C94" s="155" t="n">
        <v>31</v>
      </c>
      <c r="D94" s="156" t="n">
        <v>5</v>
      </c>
      <c r="E94" s="157" t="n">
        <v>0.676</v>
      </c>
      <c r="F94" s="157">
        <f>ROUND(E94/C94*G119,3)</f>
        <v/>
      </c>
      <c r="G94" s="155" t="inlineStr">
        <is>
          <t>有参转录组（RNA-seq）</t>
        </is>
      </c>
      <c r="H94" s="155" t="inlineStr">
        <is>
          <t>广州基迪奥科技服务有限公司</t>
        </is>
      </c>
      <c r="I94" s="157" t="n"/>
      <c r="J94" s="155" t="n"/>
      <c r="K94" s="155" t="inlineStr">
        <is>
          <t>26.7.7-ZM_F10</t>
        </is>
      </c>
      <c r="L94" s="77" t="n"/>
      <c r="M94" s="77" t="n"/>
      <c r="N94" s="77" t="n">
        <v>31</v>
      </c>
      <c r="O94" s="77" t="inlineStr">
        <is>
          <t>Illumina Truseq文库</t>
        </is>
      </c>
      <c r="P94" s="77" t="inlineStr">
        <is>
          <t>未磷酸化</t>
        </is>
      </c>
      <c r="Q94" s="77" t="inlineStr">
        <is>
          <t>未环化</t>
        </is>
      </c>
    </row>
    <row r="95" ht="30" customHeight="1" s="80">
      <c r="A95" s="159" t="n"/>
      <c r="B95" s="155" t="inlineStr">
        <is>
          <t>HGC-Lib-26084972</t>
        </is>
      </c>
      <c r="C95" s="155" t="n">
        <v>21.6</v>
      </c>
      <c r="D95" s="156" t="n">
        <v>5</v>
      </c>
      <c r="E95" s="157" t="n">
        <v>0.676</v>
      </c>
      <c r="F95" s="157">
        <f>ROUND(E95/C95*G119,3)</f>
        <v/>
      </c>
      <c r="G95" s="155" t="inlineStr">
        <is>
          <t>有参转录组（RNA-seq）</t>
        </is>
      </c>
      <c r="H95" s="155" t="inlineStr">
        <is>
          <t>广州基迪奥科技服务有限公司</t>
        </is>
      </c>
      <c r="I95" s="157" t="n"/>
      <c r="J95" s="155" t="n"/>
      <c r="K95" s="155" t="inlineStr">
        <is>
          <t>26.7.7-ZM_F11</t>
        </is>
      </c>
      <c r="L95" s="77" t="n"/>
      <c r="M95" s="77" t="n"/>
      <c r="N95" s="77" t="n">
        <v>21.6</v>
      </c>
      <c r="O95" s="77" t="inlineStr">
        <is>
          <t>Illumina Truseq文库</t>
        </is>
      </c>
      <c r="P95" s="77" t="inlineStr">
        <is>
          <t>未磷酸化</t>
        </is>
      </c>
      <c r="Q95" s="77" t="inlineStr">
        <is>
          <t>未环化</t>
        </is>
      </c>
    </row>
    <row r="96" ht="30" customHeight="1" s="80">
      <c r="A96" s="159" t="n"/>
      <c r="B96" s="155" t="inlineStr">
        <is>
          <t>HGC-Lib-26084973</t>
        </is>
      </c>
      <c r="C96" s="155" t="n">
        <v>18.5</v>
      </c>
      <c r="D96" s="156" t="n">
        <v>5</v>
      </c>
      <c r="E96" s="157" t="n">
        <v>0.676</v>
      </c>
      <c r="F96" s="157">
        <f>ROUND(E96/C96*G119,3)</f>
        <v/>
      </c>
      <c r="G96" s="155" t="inlineStr">
        <is>
          <t>有参转录组（RNA-seq）</t>
        </is>
      </c>
      <c r="H96" s="155" t="inlineStr">
        <is>
          <t>广州基迪奥科技服务有限公司</t>
        </is>
      </c>
      <c r="I96" s="157" t="n"/>
      <c r="J96" s="155" t="n"/>
      <c r="K96" s="155" t="inlineStr">
        <is>
          <t>26.7.7-ZM_F12</t>
        </is>
      </c>
      <c r="L96" s="77" t="n"/>
      <c r="M96" s="77" t="n"/>
      <c r="N96" s="77" t="n">
        <v>18.5</v>
      </c>
      <c r="O96" s="77" t="inlineStr">
        <is>
          <t>Illumina Truseq文库</t>
        </is>
      </c>
      <c r="P96" s="77" t="inlineStr">
        <is>
          <t>未磷酸化</t>
        </is>
      </c>
      <c r="Q96" s="77" t="inlineStr">
        <is>
          <t>未环化</t>
        </is>
      </c>
    </row>
    <row r="97" ht="30" customHeight="1" s="80">
      <c r="A97" s="159" t="n"/>
      <c r="B97" s="155" t="inlineStr">
        <is>
          <t>HGC-Lib-26084864</t>
        </is>
      </c>
      <c r="C97" s="155" t="n">
        <v>47.4</v>
      </c>
      <c r="D97" s="156" t="n">
        <v>5</v>
      </c>
      <c r="E97" s="157" t="n">
        <v>0.676</v>
      </c>
      <c r="F97" s="157">
        <f>ROUND(E97/C97*G119,3)</f>
        <v/>
      </c>
      <c r="G97" s="155" t="inlineStr">
        <is>
          <t>有参转录组（RNA-seq）</t>
        </is>
      </c>
      <c r="H97" s="155" t="inlineStr">
        <is>
          <t>广州奥智生物科技有限公司</t>
        </is>
      </c>
      <c r="I97" s="157" t="n"/>
      <c r="J97" s="155" t="n"/>
      <c r="K97" s="155" t="inlineStr">
        <is>
          <t>26.7.7-ZM_F2</t>
        </is>
      </c>
      <c r="L97" s="77" t="n"/>
      <c r="M97" s="77" t="n"/>
      <c r="N97" s="77" t="n">
        <v>47.4</v>
      </c>
      <c r="O97" s="77" t="n"/>
      <c r="P97" s="77" t="n"/>
      <c r="Q97" s="77" t="n"/>
    </row>
    <row r="98" ht="30" customHeight="1" s="80">
      <c r="A98" s="159" t="n"/>
      <c r="B98" s="155" t="inlineStr">
        <is>
          <t>HGC-Lib-26084865</t>
        </is>
      </c>
      <c r="C98" s="155" t="n">
        <v>46</v>
      </c>
      <c r="D98" s="156" t="n">
        <v>5</v>
      </c>
      <c r="E98" s="157" t="n">
        <v>0.676</v>
      </c>
      <c r="F98" s="157">
        <f>ROUND(E98/C98*G119,3)</f>
        <v/>
      </c>
      <c r="G98" s="155" t="inlineStr">
        <is>
          <t>有参转录组（RNA-seq）</t>
        </is>
      </c>
      <c r="H98" s="155" t="inlineStr">
        <is>
          <t>广州奥智生物科技有限公司</t>
        </is>
      </c>
      <c r="I98" s="157" t="n"/>
      <c r="J98" s="155" t="n"/>
      <c r="K98" s="155" t="inlineStr">
        <is>
          <t>26.7.7-ZM_F3</t>
        </is>
      </c>
      <c r="L98" s="77" t="n"/>
      <c r="M98" s="77" t="n"/>
      <c r="N98" s="77" t="n">
        <v>46</v>
      </c>
      <c r="O98" s="77" t="n"/>
      <c r="P98" s="77" t="n"/>
      <c r="Q98" s="77" t="n"/>
    </row>
    <row r="99" ht="30" customHeight="1" s="80">
      <c r="A99" s="159" t="n"/>
      <c r="B99" s="155" t="inlineStr">
        <is>
          <t>HGC-Lib-26084866</t>
        </is>
      </c>
      <c r="C99" s="155" t="n">
        <v>46.4</v>
      </c>
      <c r="D99" s="156" t="n">
        <v>5</v>
      </c>
      <c r="E99" s="157" t="n">
        <v>0.676</v>
      </c>
      <c r="F99" s="157">
        <f>ROUND(E99/C99*G119,3)</f>
        <v/>
      </c>
      <c r="G99" s="155" t="inlineStr">
        <is>
          <t>有参转录组（RNA-seq）</t>
        </is>
      </c>
      <c r="H99" s="155" t="inlineStr">
        <is>
          <t>广州奥智生物科技有限公司</t>
        </is>
      </c>
      <c r="I99" s="157" t="n"/>
      <c r="J99" s="155" t="n"/>
      <c r="K99" s="155" t="inlineStr">
        <is>
          <t>26.7.7-ZM_F4</t>
        </is>
      </c>
      <c r="L99" s="77" t="n"/>
      <c r="M99" s="77" t="n"/>
      <c r="N99" s="77" t="n">
        <v>46.4</v>
      </c>
      <c r="O99" s="77" t="n"/>
      <c r="P99" s="77" t="n"/>
      <c r="Q99" s="77" t="n"/>
    </row>
    <row r="100" ht="30" customHeight="1" s="80">
      <c r="A100" s="159" t="n"/>
      <c r="B100" s="155" t="inlineStr">
        <is>
          <t>HGC-Lib-26084867</t>
        </is>
      </c>
      <c r="C100" s="155" t="n">
        <v>20.6</v>
      </c>
      <c r="D100" s="156" t="n">
        <v>5</v>
      </c>
      <c r="E100" s="157" t="n">
        <v>0.676</v>
      </c>
      <c r="F100" s="157">
        <f>ROUND(E100/C100*G119,3)</f>
        <v/>
      </c>
      <c r="G100" s="155" t="inlineStr">
        <is>
          <t>有参转录组（RNA-seq）</t>
        </is>
      </c>
      <c r="H100" s="155" t="inlineStr">
        <is>
          <t>广州奥智生物科技有限公司</t>
        </is>
      </c>
      <c r="I100" s="157" t="n"/>
      <c r="J100" s="155" t="n"/>
      <c r="K100" s="155" t="inlineStr">
        <is>
          <t>26.7.7-ZM_F5</t>
        </is>
      </c>
      <c r="L100" s="77" t="n"/>
      <c r="M100" s="77" t="n"/>
      <c r="N100" s="77" t="n">
        <v>20.6</v>
      </c>
      <c r="O100" s="77" t="n"/>
      <c r="P100" s="77" t="n"/>
      <c r="Q100" s="77" t="n"/>
    </row>
    <row r="101" ht="30" customHeight="1" s="80">
      <c r="A101" s="159" t="n"/>
      <c r="B101" s="155" t="inlineStr">
        <is>
          <t>HGC-Lib-26084868</t>
        </is>
      </c>
      <c r="C101" s="155" t="n">
        <v>32.4</v>
      </c>
      <c r="D101" s="156" t="n">
        <v>5</v>
      </c>
      <c r="E101" s="157" t="n">
        <v>0.676</v>
      </c>
      <c r="F101" s="157">
        <f>ROUND(E101/C101*G119,3)</f>
        <v/>
      </c>
      <c r="G101" s="155" t="inlineStr">
        <is>
          <t>有参转录组（RNA-seq）</t>
        </is>
      </c>
      <c r="H101" s="155" t="inlineStr">
        <is>
          <t>广州奥智生物科技有限公司</t>
        </is>
      </c>
      <c r="I101" s="157" t="n"/>
      <c r="J101" s="155" t="n"/>
      <c r="K101" s="155" t="inlineStr">
        <is>
          <t>26.7.7-ZM_F6</t>
        </is>
      </c>
      <c r="L101" s="77" t="n"/>
      <c r="M101" s="77" t="n"/>
      <c r="N101" s="77" t="n">
        <v>32.4</v>
      </c>
      <c r="O101" s="77" t="n"/>
      <c r="P101" s="77" t="n"/>
      <c r="Q101" s="77" t="n"/>
    </row>
    <row r="102" ht="30" customHeight="1" s="80">
      <c r="A102" s="159" t="n"/>
      <c r="B102" s="155" t="inlineStr">
        <is>
          <t>HGC-Lib-26084968</t>
        </is>
      </c>
      <c r="C102" s="155" t="n">
        <v>34.6</v>
      </c>
      <c r="D102" s="156" t="n">
        <v>5</v>
      </c>
      <c r="E102" s="157" t="n">
        <v>0.676</v>
      </c>
      <c r="F102" s="157">
        <f>ROUND(E102/C102*G119,3)</f>
        <v/>
      </c>
      <c r="G102" s="155" t="inlineStr">
        <is>
          <t>有参转录组（RNA-seq）</t>
        </is>
      </c>
      <c r="H102" s="155" t="inlineStr">
        <is>
          <t>广州基迪奥科技服务有限公司</t>
        </is>
      </c>
      <c r="I102" s="157" t="n"/>
      <c r="J102" s="155" t="n"/>
      <c r="K102" s="155" t="inlineStr">
        <is>
          <t>26.7.7-ZM_F7</t>
        </is>
      </c>
      <c r="L102" s="77" t="n"/>
      <c r="M102" s="77" t="n"/>
      <c r="N102" s="77" t="n">
        <v>34.6</v>
      </c>
      <c r="O102" s="77" t="inlineStr">
        <is>
          <t>Illumina Truseq文库</t>
        </is>
      </c>
      <c r="P102" s="77" t="inlineStr">
        <is>
          <t>未磷酸化</t>
        </is>
      </c>
      <c r="Q102" s="77" t="inlineStr">
        <is>
          <t>未环化</t>
        </is>
      </c>
    </row>
    <row r="103" ht="30" customHeight="1" s="80">
      <c r="A103" s="159" t="n"/>
      <c r="B103" s="155" t="inlineStr">
        <is>
          <t>HGC-Lib-26084969</t>
        </is>
      </c>
      <c r="C103" s="155" t="n">
        <v>32.6</v>
      </c>
      <c r="D103" s="156" t="n">
        <v>5</v>
      </c>
      <c r="E103" s="157" t="n">
        <v>0.676</v>
      </c>
      <c r="F103" s="157">
        <f>ROUND(E103/C103*G119,3)</f>
        <v/>
      </c>
      <c r="G103" s="155" t="inlineStr">
        <is>
          <t>有参转录组（RNA-seq）</t>
        </is>
      </c>
      <c r="H103" s="155" t="inlineStr">
        <is>
          <t>广州基迪奥科技服务有限公司</t>
        </is>
      </c>
      <c r="I103" s="157" t="n"/>
      <c r="J103" s="155" t="n"/>
      <c r="K103" s="155" t="inlineStr">
        <is>
          <t>26.7.7-ZM_F8</t>
        </is>
      </c>
      <c r="L103" s="77" t="n"/>
      <c r="M103" s="77" t="n"/>
      <c r="N103" s="77" t="n">
        <v>32.6</v>
      </c>
      <c r="O103" s="77" t="inlineStr">
        <is>
          <t>Illumina Truseq文库</t>
        </is>
      </c>
      <c r="P103" s="77" t="inlineStr">
        <is>
          <t>未磷酸化</t>
        </is>
      </c>
      <c r="Q103" s="77" t="inlineStr">
        <is>
          <t>未环化</t>
        </is>
      </c>
    </row>
    <row r="104" ht="30" customHeight="1" s="80">
      <c r="A104" s="159" t="n"/>
      <c r="B104" s="155" t="inlineStr">
        <is>
          <t>HGC-Lib-26084970</t>
        </is>
      </c>
      <c r="C104" s="155" t="n">
        <v>31.2</v>
      </c>
      <c r="D104" s="156" t="n">
        <v>5</v>
      </c>
      <c r="E104" s="157" t="n">
        <v>0.676</v>
      </c>
      <c r="F104" s="157">
        <f>ROUND(E104/C104*G119,3)</f>
        <v/>
      </c>
      <c r="G104" s="155" t="inlineStr">
        <is>
          <t>有参转录组（RNA-seq）</t>
        </is>
      </c>
      <c r="H104" s="155" t="inlineStr">
        <is>
          <t>广州基迪奥科技服务有限公司</t>
        </is>
      </c>
      <c r="I104" s="157" t="n"/>
      <c r="J104" s="155" t="n"/>
      <c r="K104" s="155" t="inlineStr">
        <is>
          <t>26.7.7-ZM_F9</t>
        </is>
      </c>
      <c r="L104" s="77" t="n"/>
      <c r="M104" s="77" t="n"/>
      <c r="N104" s="77" t="n">
        <v>31.2</v>
      </c>
      <c r="O104" s="77" t="inlineStr">
        <is>
          <t>Illumina Truseq文库</t>
        </is>
      </c>
      <c r="P104" s="77" t="inlineStr">
        <is>
          <t>未磷酸化</t>
        </is>
      </c>
      <c r="Q104" s="77" t="inlineStr">
        <is>
          <t>未环化</t>
        </is>
      </c>
    </row>
    <row r="105" ht="30" customHeight="1" s="80">
      <c r="A105" s="159" t="n"/>
      <c r="B105" s="155" t="inlineStr">
        <is>
          <t>HGC-Lib-26084962</t>
        </is>
      </c>
      <c r="C105" s="155" t="n">
        <v>10.04</v>
      </c>
      <c r="D105" s="156" t="n">
        <v>5</v>
      </c>
      <c r="E105" s="157" t="n">
        <v>0.676</v>
      </c>
      <c r="F105" s="157">
        <f>ROUND(E105/C105*G119,3)</f>
        <v/>
      </c>
      <c r="G105" s="155" t="inlineStr">
        <is>
          <t>有参转录组（RNA-seq）</t>
        </is>
      </c>
      <c r="H105" s="155" t="inlineStr">
        <is>
          <t>广州基迪奥科技服务有限公司</t>
        </is>
      </c>
      <c r="I105" s="157" t="n"/>
      <c r="J105" s="155" t="n"/>
      <c r="K105" s="165" t="inlineStr">
        <is>
          <t>26.7.8-5-BGI_A1</t>
        </is>
      </c>
      <c r="L105" s="77" t="n"/>
      <c r="M105" s="77" t="n"/>
      <c r="N105" s="77" t="n">
        <v>10.04</v>
      </c>
      <c r="O105" s="77" t="inlineStr">
        <is>
          <t>Illumina Truseq文库</t>
        </is>
      </c>
      <c r="P105" s="77" t="inlineStr">
        <is>
          <t>未磷酸化</t>
        </is>
      </c>
      <c r="Q105" s="77" t="inlineStr">
        <is>
          <t>未环化</t>
        </is>
      </c>
    </row>
    <row r="106" ht="30" customHeight="1" s="80">
      <c r="A106" s="159" t="n"/>
      <c r="B106" s="155" t="inlineStr">
        <is>
          <t>HGC-Lib-26084963</t>
        </is>
      </c>
      <c r="C106" s="155" t="n">
        <v>14.16</v>
      </c>
      <c r="D106" s="156" t="n">
        <v>5</v>
      </c>
      <c r="E106" s="157" t="n">
        <v>0.676</v>
      </c>
      <c r="F106" s="157">
        <f>ROUND(E106/C106*G119,3)</f>
        <v/>
      </c>
      <c r="G106" s="155" t="inlineStr">
        <is>
          <t>有参转录组（RNA-seq）</t>
        </is>
      </c>
      <c r="H106" s="155" t="inlineStr">
        <is>
          <t>广州基迪奥科技服务有限公司</t>
        </is>
      </c>
      <c r="I106" s="157" t="n"/>
      <c r="J106" s="155" t="n"/>
      <c r="K106" s="165" t="inlineStr">
        <is>
          <t>26.7.8-5-BGI_A2</t>
        </is>
      </c>
      <c r="L106" s="77" t="n"/>
      <c r="M106" s="77" t="n"/>
      <c r="N106" s="77" t="n">
        <v>14.16</v>
      </c>
      <c r="O106" s="77" t="inlineStr">
        <is>
          <t>Illumina Truseq文库</t>
        </is>
      </c>
      <c r="P106" s="77" t="inlineStr">
        <is>
          <t>未磷酸化</t>
        </is>
      </c>
      <c r="Q106" s="77" t="inlineStr">
        <is>
          <t>未环化</t>
        </is>
      </c>
    </row>
    <row r="107" ht="30" customHeight="1" s="80">
      <c r="A107" s="159" t="n"/>
      <c r="B107" s="155" t="inlineStr">
        <is>
          <t>HGC-Lib-26084964</t>
        </is>
      </c>
      <c r="C107" s="155" t="n">
        <v>13.34</v>
      </c>
      <c r="D107" s="156" t="n">
        <v>5</v>
      </c>
      <c r="E107" s="157" t="n">
        <v>0.676</v>
      </c>
      <c r="F107" s="157">
        <f>ROUND(E107/C107*G119,3)</f>
        <v/>
      </c>
      <c r="G107" s="155" t="inlineStr">
        <is>
          <t>有参转录组（RNA-seq）</t>
        </is>
      </c>
      <c r="H107" s="155" t="inlineStr">
        <is>
          <t>广州基迪奥科技服务有限公司</t>
        </is>
      </c>
      <c r="I107" s="157" t="n"/>
      <c r="J107" s="155" t="n"/>
      <c r="K107" s="165" t="inlineStr">
        <is>
          <t>26.7.8-5-BGI_A3</t>
        </is>
      </c>
      <c r="L107" s="77" t="n"/>
      <c r="M107" s="77" t="n"/>
      <c r="N107" s="77" t="n">
        <v>13.34</v>
      </c>
      <c r="O107" s="77" t="inlineStr">
        <is>
          <t>Illumina Truseq文库</t>
        </is>
      </c>
      <c r="P107" s="77" t="inlineStr">
        <is>
          <t>未磷酸化</t>
        </is>
      </c>
      <c r="Q107" s="77" t="inlineStr">
        <is>
          <t>未环化</t>
        </is>
      </c>
    </row>
    <row r="108" ht="30" customHeight="1" s="80">
      <c r="A108" s="159" t="n"/>
      <c r="B108" s="155" t="inlineStr">
        <is>
          <t>HGC-Lib-26084965</t>
        </is>
      </c>
      <c r="C108" s="155" t="n">
        <v>14.38</v>
      </c>
      <c r="D108" s="156" t="n">
        <v>5</v>
      </c>
      <c r="E108" s="157" t="n">
        <v>0.676</v>
      </c>
      <c r="F108" s="157">
        <f>ROUND(E108/C108*G119,3)</f>
        <v/>
      </c>
      <c r="G108" s="155" t="inlineStr">
        <is>
          <t>有参转录组（RNA-seq）</t>
        </is>
      </c>
      <c r="H108" s="155" t="inlineStr">
        <is>
          <t>广州基迪奥科技服务有限公司</t>
        </is>
      </c>
      <c r="I108" s="157" t="n"/>
      <c r="J108" s="155" t="n"/>
      <c r="K108" s="165" t="inlineStr">
        <is>
          <t>26.7.8-5-BGI_A4</t>
        </is>
      </c>
      <c r="L108" s="77" t="n"/>
      <c r="M108" s="77" t="n"/>
      <c r="N108" s="77" t="n">
        <v>14.38</v>
      </c>
      <c r="O108" s="77" t="inlineStr">
        <is>
          <t>Illumina Truseq文库</t>
        </is>
      </c>
      <c r="P108" s="77" t="inlineStr">
        <is>
          <t>未磷酸化</t>
        </is>
      </c>
      <c r="Q108" s="77" t="inlineStr">
        <is>
          <t>未环化</t>
        </is>
      </c>
    </row>
    <row r="109" ht="30" customHeight="1" s="80">
      <c r="A109" s="159" t="n"/>
      <c r="B109" s="155" t="inlineStr">
        <is>
          <t>HGC-Lib-26084967</t>
        </is>
      </c>
      <c r="C109" s="155" t="n">
        <v>12.15</v>
      </c>
      <c r="D109" s="156" t="n">
        <v>5</v>
      </c>
      <c r="E109" s="157" t="n">
        <v>0.676</v>
      </c>
      <c r="F109" s="157">
        <f>ROUND(E109/C109*G119,3)</f>
        <v/>
      </c>
      <c r="G109" s="155" t="inlineStr">
        <is>
          <t>有参转录组（RNA-seq）</t>
        </is>
      </c>
      <c r="H109" s="155" t="inlineStr">
        <is>
          <t>广州基迪奥科技服务有限公司</t>
        </is>
      </c>
      <c r="I109" s="157" t="n"/>
      <c r="J109" s="155" t="n"/>
      <c r="K109" s="165" t="inlineStr">
        <is>
          <t>26.7.8-5-BGI_A6</t>
        </is>
      </c>
      <c r="L109" s="77" t="n"/>
      <c r="M109" s="77" t="n"/>
      <c r="N109" s="77" t="n">
        <v>12.15</v>
      </c>
      <c r="O109" s="77" t="inlineStr">
        <is>
          <t>Illumina Truseq文库</t>
        </is>
      </c>
      <c r="P109" s="77" t="inlineStr">
        <is>
          <t>未磷酸化</t>
        </is>
      </c>
      <c r="Q109" s="77" t="inlineStr">
        <is>
          <t>未环化</t>
        </is>
      </c>
    </row>
    <row r="110" ht="30" customHeight="1" s="80">
      <c r="A110" s="159" t="n"/>
      <c r="B110" s="155" t="inlineStr">
        <is>
          <t>HGC-Lib-26084791</t>
        </is>
      </c>
      <c r="C110" s="155" t="n">
        <v>14.21</v>
      </c>
      <c r="D110" s="156" t="n">
        <v>5</v>
      </c>
      <c r="E110" s="157" t="n">
        <v>0.676</v>
      </c>
      <c r="F110" s="157">
        <f>ROUND(E110/C110*G119,3)</f>
        <v/>
      </c>
      <c r="G110" s="155" t="inlineStr">
        <is>
          <t>有参转录组（RNA-seq）</t>
        </is>
      </c>
      <c r="H110" s="155" t="inlineStr">
        <is>
          <t>广州奥智生物科技有限公司</t>
        </is>
      </c>
      <c r="I110" s="157" t="n"/>
      <c r="J110" s="155" t="n"/>
      <c r="K110" s="165" t="inlineStr">
        <is>
          <t>26.7.8-5-BGI_B10</t>
        </is>
      </c>
      <c r="L110" s="77" t="n"/>
      <c r="M110" s="77" t="n"/>
      <c r="N110" s="77" t="n">
        <v>14.21</v>
      </c>
      <c r="O110" s="77" t="n"/>
      <c r="P110" s="77" t="n"/>
      <c r="Q110" s="77" t="n"/>
    </row>
    <row r="111" ht="30" customHeight="1" s="80">
      <c r="A111" s="159" t="n"/>
      <c r="B111" s="155" t="inlineStr">
        <is>
          <t>HGC-Lib-26084792</t>
        </is>
      </c>
      <c r="C111" s="155" t="n">
        <v>30.78</v>
      </c>
      <c r="D111" s="156" t="n">
        <v>5</v>
      </c>
      <c r="E111" s="157" t="n">
        <v>0.676</v>
      </c>
      <c r="F111" s="157">
        <f>ROUND(E111/C111*G119,3)</f>
        <v/>
      </c>
      <c r="G111" s="155" t="inlineStr">
        <is>
          <t>有参转录组（RNA-seq）</t>
        </is>
      </c>
      <c r="H111" s="155" t="inlineStr">
        <is>
          <t>广州奥智生物科技有限公司</t>
        </is>
      </c>
      <c r="I111" s="157" t="n"/>
      <c r="J111" s="155" t="n"/>
      <c r="K111" s="165" t="inlineStr">
        <is>
          <t>26.7.8-5-BGI_B11</t>
        </is>
      </c>
      <c r="L111" s="77" t="n"/>
      <c r="M111" s="77" t="n"/>
      <c r="N111" s="77" t="n">
        <v>30.78</v>
      </c>
      <c r="O111" s="77" t="n"/>
      <c r="P111" s="77" t="n"/>
      <c r="Q111" s="77" t="n"/>
    </row>
    <row r="112" ht="30" customHeight="1" s="80">
      <c r="A112" s="159" t="n"/>
      <c r="B112" s="155" t="inlineStr">
        <is>
          <t>HGC-Lib-26084793</t>
        </is>
      </c>
      <c r="C112" s="155" t="n">
        <v>30.08</v>
      </c>
      <c r="D112" s="156" t="n">
        <v>5</v>
      </c>
      <c r="E112" s="157" t="n">
        <v>0.676</v>
      </c>
      <c r="F112" s="157">
        <f>ROUND(E112/C112*G119,3)</f>
        <v/>
      </c>
      <c r="G112" s="155" t="inlineStr">
        <is>
          <t>有参转录组（RNA-seq）</t>
        </is>
      </c>
      <c r="H112" s="155" t="inlineStr">
        <is>
          <t>广州奥智生物科技有限公司</t>
        </is>
      </c>
      <c r="I112" s="157" t="n"/>
      <c r="J112" s="155" t="n"/>
      <c r="K112" s="165" t="inlineStr">
        <is>
          <t>26.7.8-5-BGI_B12</t>
        </is>
      </c>
      <c r="L112" s="77" t="n"/>
      <c r="M112" s="77" t="n"/>
      <c r="N112" s="77" t="n">
        <v>30.08</v>
      </c>
      <c r="O112" s="77" t="n"/>
      <c r="P112" s="77" t="n"/>
      <c r="Q112" s="77" t="n"/>
    </row>
    <row r="113" ht="30" customHeight="1" s="80">
      <c r="A113" s="159" t="n"/>
      <c r="B113" s="155" t="inlineStr">
        <is>
          <t>HGC-Lib-26084785</t>
        </is>
      </c>
      <c r="C113" s="155" t="n">
        <v>22.08</v>
      </c>
      <c r="D113" s="156" t="n">
        <v>5</v>
      </c>
      <c r="E113" s="157" t="n">
        <v>0.676</v>
      </c>
      <c r="F113" s="157">
        <f>ROUND(E113/C113*G119,3)</f>
        <v/>
      </c>
      <c r="G113" s="155" t="inlineStr">
        <is>
          <t>有参转录组（RNA-seq）</t>
        </is>
      </c>
      <c r="H113" s="155" t="inlineStr">
        <is>
          <t>广州奥智生物科技有限公司</t>
        </is>
      </c>
      <c r="I113" s="157" t="n"/>
      <c r="J113" s="155" t="n"/>
      <c r="K113" s="165" t="inlineStr">
        <is>
          <t>26.7.8-5-BGI_B4</t>
        </is>
      </c>
      <c r="L113" s="77" t="n"/>
      <c r="M113" s="77" t="n"/>
      <c r="N113" s="77" t="n">
        <v>22.08</v>
      </c>
      <c r="O113" s="77" t="n"/>
      <c r="P113" s="77" t="n"/>
      <c r="Q113" s="77" t="n"/>
    </row>
    <row r="114" ht="30" customHeight="1" s="80">
      <c r="A114" s="159" t="n"/>
      <c r="B114" s="155" t="inlineStr">
        <is>
          <t>HGC-Lib-26084786</t>
        </is>
      </c>
      <c r="C114" s="155" t="n">
        <v>19.68</v>
      </c>
      <c r="D114" s="156" t="n">
        <v>5</v>
      </c>
      <c r="E114" s="157" t="n">
        <v>0.676</v>
      </c>
      <c r="F114" s="157">
        <f>ROUND(E114/C114*G119,3)</f>
        <v/>
      </c>
      <c r="G114" s="155" t="inlineStr">
        <is>
          <t>有参转录组（RNA-seq）</t>
        </is>
      </c>
      <c r="H114" s="155" t="inlineStr">
        <is>
          <t>广州奥智生物科技有限公司</t>
        </is>
      </c>
      <c r="I114" s="157" t="n"/>
      <c r="J114" s="155" t="n"/>
      <c r="K114" s="165" t="inlineStr">
        <is>
          <t>26.7.8-5-BGI_B5</t>
        </is>
      </c>
      <c r="L114" s="77" t="n"/>
      <c r="M114" s="77" t="n"/>
      <c r="N114" s="77" t="n">
        <v>19.68</v>
      </c>
      <c r="O114" s="77" t="n"/>
      <c r="P114" s="77" t="n"/>
      <c r="Q114" s="77" t="n"/>
    </row>
    <row r="115" ht="30" customHeight="1" s="80">
      <c r="A115" s="159" t="n"/>
      <c r="B115" s="155" t="inlineStr">
        <is>
          <t>HGC-Lib-26084787</t>
        </is>
      </c>
      <c r="C115" s="155" t="n">
        <v>22.48</v>
      </c>
      <c r="D115" s="156" t="n">
        <v>5</v>
      </c>
      <c r="E115" s="157" t="n">
        <v>0.676</v>
      </c>
      <c r="F115" s="157">
        <f>ROUND(E115/C115*G119,3)</f>
        <v/>
      </c>
      <c r="G115" s="155" t="inlineStr">
        <is>
          <t>有参转录组（RNA-seq）</t>
        </is>
      </c>
      <c r="H115" s="155" t="inlineStr">
        <is>
          <t>广州奥智生物科技有限公司</t>
        </is>
      </c>
      <c r="I115" s="157" t="n"/>
      <c r="J115" s="155" t="n"/>
      <c r="K115" s="165" t="inlineStr">
        <is>
          <t>26.7.8-5-BGI_B6</t>
        </is>
      </c>
      <c r="L115" s="77" t="n"/>
      <c r="M115" s="77" t="n"/>
      <c r="N115" s="77" t="n">
        <v>22.48</v>
      </c>
      <c r="O115" s="77" t="n"/>
      <c r="P115" s="77" t="n"/>
      <c r="Q115" s="77" t="n"/>
    </row>
    <row r="116" ht="30" customHeight="1" s="80">
      <c r="A116" s="159" t="n"/>
      <c r="B116" s="155" t="inlineStr">
        <is>
          <t>HGC-Lib-26084788</t>
        </is>
      </c>
      <c r="C116" s="155" t="n">
        <v>48.04</v>
      </c>
      <c r="D116" s="156" t="n">
        <v>5</v>
      </c>
      <c r="E116" s="157" t="n">
        <v>0.676</v>
      </c>
      <c r="F116" s="157">
        <f>ROUND(E116/C116*G119,3)</f>
        <v/>
      </c>
      <c r="G116" s="155" t="inlineStr">
        <is>
          <t>有参转录组（RNA-seq）</t>
        </is>
      </c>
      <c r="H116" s="155" t="inlineStr">
        <is>
          <t>广州奥智生物科技有限公司</t>
        </is>
      </c>
      <c r="I116" s="157" t="n"/>
      <c r="J116" s="155" t="n"/>
      <c r="K116" s="165" t="inlineStr">
        <is>
          <t>26.7.8-5-BGI_B7</t>
        </is>
      </c>
      <c r="L116" s="77" t="n"/>
      <c r="M116" s="77" t="n"/>
      <c r="N116" s="77" t="n">
        <v>48.04</v>
      </c>
      <c r="O116" s="77" t="n"/>
      <c r="P116" s="77" t="n"/>
      <c r="Q116" s="77" t="n"/>
    </row>
    <row r="117" ht="30" customHeight="1" s="80">
      <c r="A117" s="159" t="n"/>
      <c r="B117" s="155" t="inlineStr">
        <is>
          <t>HGC-Lib-26084794</t>
        </is>
      </c>
      <c r="C117" s="155" t="n">
        <v>49.09</v>
      </c>
      <c r="D117" s="156" t="n">
        <v>5</v>
      </c>
      <c r="E117" s="157" t="n">
        <v>0.676</v>
      </c>
      <c r="F117" s="157">
        <f>ROUND(E117/C117*G119,3)</f>
        <v/>
      </c>
      <c r="G117" s="155" t="inlineStr">
        <is>
          <t>有参转录组（RNA-seq）</t>
        </is>
      </c>
      <c r="H117" s="155" t="inlineStr">
        <is>
          <t>广州奥智生物科技有限公司</t>
        </is>
      </c>
      <c r="I117" s="157" t="n"/>
      <c r="J117" s="155" t="n"/>
      <c r="K117" s="165" t="inlineStr">
        <is>
          <t>26.7.8-5-BGI_C1</t>
        </is>
      </c>
      <c r="L117" s="77" t="n"/>
      <c r="M117" s="77" t="n"/>
      <c r="N117" s="77" t="n">
        <v>49.09</v>
      </c>
      <c r="O117" s="77" t="n"/>
      <c r="P117" s="77" t="n"/>
      <c r="Q117" s="77" t="n"/>
    </row>
    <row r="118" ht="30" customHeight="1" s="80">
      <c r="A118" s="160" t="n"/>
      <c r="B118" s="155" t="inlineStr">
        <is>
          <t>HGC-Lib-26084796</t>
        </is>
      </c>
      <c r="C118" s="155" t="n">
        <v>45.6</v>
      </c>
      <c r="D118" s="156" t="n">
        <v>5</v>
      </c>
      <c r="E118" s="157" t="n">
        <v>0.676</v>
      </c>
      <c r="F118" s="157">
        <f>ROUND(E118/C118*G119,3)</f>
        <v/>
      </c>
      <c r="G118" s="155" t="inlineStr">
        <is>
          <t>有参转录组（RNA-seq）</t>
        </is>
      </c>
      <c r="H118" s="155" t="inlineStr">
        <is>
          <t>广州奥智生物科技有限公司</t>
        </is>
      </c>
      <c r="I118" s="157" t="n"/>
      <c r="J118" s="155" t="n"/>
      <c r="K118" s="165" t="inlineStr">
        <is>
          <t>26.7.8-5-BGI_C3</t>
        </is>
      </c>
      <c r="L118" s="77" t="n"/>
      <c r="M118" s="77" t="n"/>
      <c r="N118" s="77" t="n">
        <v>45.6</v>
      </c>
      <c r="O118" s="77" t="n"/>
      <c r="P118" s="77" t="n"/>
      <c r="Q118" s="77" t="n"/>
    </row>
    <row r="119" ht="30" customHeight="1" s="80">
      <c r="A119" s="78" t="n"/>
      <c r="B119" s="78" t="n"/>
      <c r="C119" s="78" t="n"/>
      <c r="D119" s="86">
        <f>ROUND(SUM(D45:D118),2)</f>
        <v/>
      </c>
      <c r="E119" s="87" t="n">
        <v>50.024</v>
      </c>
      <c r="F119" s="87">
        <f>IF(G119&gt;1,ROUND(SUM(F45:F118)/G119*2,3),ROUND(SUM(F45:F118),3))</f>
        <v/>
      </c>
      <c r="G119" s="77" t="n">
        <v>36</v>
      </c>
      <c r="H119" s="78" t="n"/>
      <c r="I119" s="158">
        <f>ROUND(20-F119,3)</f>
        <v/>
      </c>
      <c r="J119" s="78" t="n"/>
      <c r="K119" s="78" t="n"/>
      <c r="L119" s="78" t="n"/>
      <c r="M119" s="77">
        <f>AVERAGE(M45:M118)</f>
        <v/>
      </c>
      <c r="N119" s="78" t="n"/>
      <c r="O119" s="78" t="n"/>
      <c r="P119" s="78" t="n"/>
      <c r="Q119" s="78" t="n"/>
    </row>
    <row r="120" ht="30" customHeight="1" s="80">
      <c r="A120" s="155" t="inlineStr">
        <is>
          <t>C6</t>
        </is>
      </c>
      <c r="B120" s="155" t="inlineStr">
        <is>
          <t>HGC-Lib-26084966</t>
        </is>
      </c>
      <c r="C120" s="155" t="n">
        <v>7.46</v>
      </c>
      <c r="D120" s="156" t="n">
        <v>5</v>
      </c>
      <c r="E120" s="157" t="n">
        <v>50</v>
      </c>
      <c r="F120" s="157">
        <f>ROUND(E120/C120*G121,3)</f>
        <v/>
      </c>
      <c r="G120" s="155" t="inlineStr">
        <is>
          <t>有参转录组（RNA-seq）</t>
        </is>
      </c>
      <c r="H120" s="155" t="inlineStr">
        <is>
          <t>广州基迪奥科技服务有限公司</t>
        </is>
      </c>
      <c r="I120" s="157" t="n"/>
      <c r="J120" s="155" t="n"/>
      <c r="K120" s="155" t="inlineStr">
        <is>
          <t>26.7.8-5-BGI_A5</t>
        </is>
      </c>
      <c r="L120" s="77" t="n"/>
      <c r="M120" s="77" t="n"/>
      <c r="N120" s="77" t="n">
        <v>7.46</v>
      </c>
      <c r="O120" s="77" t="inlineStr">
        <is>
          <t>Illumina Truseq文库</t>
        </is>
      </c>
      <c r="P120" s="77" t="inlineStr">
        <is>
          <t>未磷酸化</t>
        </is>
      </c>
      <c r="Q120" s="77" t="inlineStr">
        <is>
          <t>未环化</t>
        </is>
      </c>
    </row>
    <row r="121" ht="30" customHeight="1" s="80">
      <c r="A121" s="78" t="n"/>
      <c r="B121" s="78" t="n"/>
      <c r="C121" s="78" t="n"/>
      <c r="D121" s="86">
        <f>ROUND(SUM(D120:D120),2)</f>
        <v/>
      </c>
      <c r="E121" s="87" t="n">
        <v>50</v>
      </c>
      <c r="F121" s="87">
        <f>IF(G121&gt;1,ROUND(SUM(F120:F120)/G121*2,3),ROUND(SUM(F120:F120),3))</f>
        <v/>
      </c>
      <c r="G121" s="77" t="n">
        <v>1</v>
      </c>
      <c r="H121" s="78" t="n"/>
      <c r="I121" s="158">
        <f>ROUND(20-F121,3)</f>
        <v/>
      </c>
      <c r="J121" s="78" t="n"/>
      <c r="K121" s="78" t="n"/>
      <c r="L121" s="78" t="n"/>
      <c r="M121" s="77">
        <f>AVERAGE(M120:M120)</f>
        <v/>
      </c>
      <c r="N121" s="78" t="n"/>
      <c r="O121" s="78" t="n"/>
      <c r="P121" s="78" t="n"/>
      <c r="Q121" s="78" t="n"/>
    </row>
    <row r="122" ht="30" customHeight="1" s="80">
      <c r="A122" s="155" t="inlineStr">
        <is>
          <t>C7</t>
        </is>
      </c>
      <c r="B122" s="155" t="inlineStr">
        <is>
          <t>HGC-Lib-26084961</t>
        </is>
      </c>
      <c r="C122" s="155" t="n">
        <v>7.82</v>
      </c>
      <c r="D122" s="156" t="n">
        <v>6</v>
      </c>
      <c r="E122" s="157" t="n">
        <v>50</v>
      </c>
      <c r="F122" s="157">
        <f>ROUND(E122/C122*G123,3)</f>
        <v/>
      </c>
      <c r="G122" s="155" t="inlineStr">
        <is>
          <t>重测序</t>
        </is>
      </c>
      <c r="H122" s="155" t="inlineStr">
        <is>
          <t>广州基迪奥科技服务有限公司</t>
        </is>
      </c>
      <c r="I122" s="157" t="n"/>
      <c r="J122" s="155" t="n"/>
      <c r="K122" s="155" t="n"/>
      <c r="L122" s="77" t="n"/>
      <c r="M122" s="77" t="n"/>
      <c r="N122" s="77" t="n">
        <v>7.82</v>
      </c>
      <c r="O122" s="77" t="inlineStr">
        <is>
          <t>Illumina Truseq文库</t>
        </is>
      </c>
      <c r="P122" s="77" t="inlineStr">
        <is>
          <t>未磷酸化</t>
        </is>
      </c>
      <c r="Q122" s="77" t="inlineStr">
        <is>
          <t>未环化</t>
        </is>
      </c>
    </row>
    <row r="123" ht="30" customHeight="1" s="80">
      <c r="A123" s="78" t="n"/>
      <c r="B123" s="78" t="n"/>
      <c r="C123" s="78" t="n"/>
      <c r="D123" s="86">
        <f>ROUND(SUM(D122:D122),2)</f>
        <v/>
      </c>
      <c r="E123" s="87" t="n">
        <v>50</v>
      </c>
      <c r="F123" s="87">
        <f>IF(G123&gt;1,ROUND(SUM(F122:F122)/G123*2,3),ROUND(SUM(F122:F122),3))</f>
        <v/>
      </c>
      <c r="G123" s="77" t="n">
        <v>1</v>
      </c>
      <c r="H123" s="78" t="n"/>
      <c r="I123" s="158">
        <f>ROUND(20-F123,3)</f>
        <v/>
      </c>
      <c r="J123" s="78" t="n"/>
      <c r="K123" s="78" t="n"/>
      <c r="L123" s="78" t="n"/>
      <c r="M123" s="77">
        <f>AVERAGE(M122:M122)</f>
        <v/>
      </c>
      <c r="N123" s="78" t="n"/>
      <c r="O123" s="78" t="n"/>
      <c r="P123" s="78" t="n"/>
      <c r="Q123" s="78" t="n"/>
    </row>
    <row r="124" ht="30" customHeight="1" s="80">
      <c r="A124" s="155" t="inlineStr">
        <is>
          <t>C8</t>
        </is>
      </c>
      <c r="B124" s="155" t="inlineStr">
        <is>
          <t>HGC-Lib-26084918</t>
        </is>
      </c>
      <c r="C124" s="155" t="n">
        <v>20.42</v>
      </c>
      <c r="D124" s="156" t="n">
        <v>100</v>
      </c>
      <c r="E124" s="157" t="n">
        <v>50</v>
      </c>
      <c r="F124" s="157">
        <f>ROUND(E124/C124*G125,3)</f>
        <v/>
      </c>
      <c r="G124" s="155" t="inlineStr">
        <is>
          <t>singleron-3'转录组文库</t>
        </is>
      </c>
      <c r="H124" s="155" t="inlineStr">
        <is>
          <t>南京通元医学检验实验室有限公司</t>
        </is>
      </c>
      <c r="I124" s="157" t="n"/>
      <c r="J124" s="155" t="n"/>
      <c r="K124" s="155" t="n"/>
      <c r="L124" s="77" t="n"/>
      <c r="M124" s="77" t="n"/>
      <c r="N124" s="77" t="n">
        <v>20.42</v>
      </c>
      <c r="O124" s="77" t="n"/>
      <c r="P124" s="77" t="inlineStr">
        <is>
          <t>未磷酸化</t>
        </is>
      </c>
      <c r="Q124" s="77" t="inlineStr">
        <is>
          <t>未环化</t>
        </is>
      </c>
    </row>
    <row r="125" ht="30" customHeight="1" s="80">
      <c r="A125" s="78" t="n"/>
      <c r="B125" s="78" t="n"/>
      <c r="C125" s="78" t="n"/>
      <c r="D125" s="86">
        <f>ROUND(SUM(D124:D124),2)</f>
        <v/>
      </c>
      <c r="E125" s="87" t="n">
        <v>50</v>
      </c>
      <c r="F125" s="87">
        <f>IF(G125&gt;1,ROUND(SUM(F124:F124)/G125*2,3),ROUND(SUM(F124:F124),3))</f>
        <v/>
      </c>
      <c r="G125" s="77" t="n">
        <v>1</v>
      </c>
      <c r="H125" s="78" t="n"/>
      <c r="I125" s="158">
        <f>ROUND(20-F125,3)</f>
        <v/>
      </c>
      <c r="J125" s="78" t="n"/>
      <c r="K125" s="78" t="n"/>
      <c r="L125" s="78" t="n"/>
      <c r="M125" s="77">
        <f>AVERAGE(M124:M124)</f>
        <v/>
      </c>
      <c r="N125" s="78" t="n"/>
      <c r="O125" s="78" t="n"/>
      <c r="P125" s="78" t="n"/>
      <c r="Q125" s="78" t="n"/>
    </row>
    <row r="126" ht="30" customHeight="1" s="80">
      <c r="A126" s="155" t="inlineStr">
        <is>
          <t>C9</t>
        </is>
      </c>
      <c r="B126" s="155" t="inlineStr">
        <is>
          <t>HGC-Lib-26083916</t>
        </is>
      </c>
      <c r="C126" s="155" t="n">
        <v>60.4</v>
      </c>
      <c r="D126" s="156" t="n">
        <v>100</v>
      </c>
      <c r="E126" s="157" t="n">
        <v>50</v>
      </c>
      <c r="F126" s="157">
        <f>ROUND(E126/C126*G127,3)</f>
        <v/>
      </c>
      <c r="G126" s="155" t="inlineStr">
        <is>
          <t>singleron-空转文库</t>
        </is>
      </c>
      <c r="H126" s="155" t="inlineStr">
        <is>
          <t>南京通元医学检验实验室有限公司</t>
        </is>
      </c>
      <c r="I126" s="157" t="n"/>
      <c r="J126" s="155" t="n"/>
      <c r="K126" s="155" t="n"/>
      <c r="L126" s="77" t="n"/>
      <c r="M126" s="77" t="n"/>
      <c r="N126" s="77" t="n">
        <v>60.4</v>
      </c>
      <c r="O126" s="77" t="n"/>
      <c r="P126" s="77" t="inlineStr">
        <is>
          <t>未磷酸化</t>
        </is>
      </c>
      <c r="Q126" s="77" t="inlineStr">
        <is>
          <t>未环化</t>
        </is>
      </c>
    </row>
    <row r="127" ht="30" customHeight="1" s="80">
      <c r="A127" s="78" t="n"/>
      <c r="B127" s="78" t="n"/>
      <c r="C127" s="78" t="n"/>
      <c r="D127" s="86">
        <f>ROUND(SUM(D126:D126),2)</f>
        <v/>
      </c>
      <c r="E127" s="87" t="n">
        <v>50</v>
      </c>
      <c r="F127" s="87">
        <f>IF(G127&gt;1,ROUND(SUM(F126:F126)/G127*2,3),ROUND(SUM(F126:F126),3))</f>
        <v/>
      </c>
      <c r="G127" s="77" t="n">
        <v>1</v>
      </c>
      <c r="H127" s="78" t="n"/>
      <c r="I127" s="158">
        <f>ROUND(20-F127,3)</f>
        <v/>
      </c>
      <c r="J127" s="78" t="n"/>
      <c r="K127" s="78" t="n"/>
      <c r="L127" s="78" t="n"/>
      <c r="M127" s="77">
        <f>AVERAGE(M126:M126)</f>
        <v/>
      </c>
      <c r="N127" s="78" t="n"/>
      <c r="O127" s="78" t="n"/>
      <c r="P127" s="78" t="n"/>
      <c r="Q127" s="78" t="n"/>
    </row>
    <row r="128" ht="30" customHeight="1" s="80">
      <c r="A128" s="155" t="inlineStr">
        <is>
          <t>C10</t>
        </is>
      </c>
      <c r="B128" s="155" t="inlineStr">
        <is>
          <t>HGC-Lib-26084543</t>
        </is>
      </c>
      <c r="C128" s="155" t="n">
        <v>96.12</v>
      </c>
      <c r="D128" s="156" t="n">
        <v>100</v>
      </c>
      <c r="E128" s="157" t="n">
        <v>12.5</v>
      </c>
      <c r="F128" s="157">
        <f>ROUND(E128/C128*G132,3)</f>
        <v/>
      </c>
      <c r="G128" s="155" t="inlineStr">
        <is>
          <t>10x 5'单细胞</t>
        </is>
      </c>
      <c r="H128" s="155" t="inlineStr">
        <is>
          <t>江西烈冰生物科技有限公司</t>
        </is>
      </c>
      <c r="I128" s="157" t="n"/>
      <c r="J128" s="155" t="n"/>
      <c r="K128" s="155" t="n"/>
      <c r="L128" s="77" t="n"/>
      <c r="M128" s="77" t="n"/>
      <c r="N128" s="77" t="n">
        <v>96.12</v>
      </c>
      <c r="O128" s="77" t="n"/>
      <c r="P128" s="77" t="inlineStr">
        <is>
          <t>未磷酸化</t>
        </is>
      </c>
      <c r="Q128" s="77" t="inlineStr">
        <is>
          <t>未环化</t>
        </is>
      </c>
    </row>
    <row r="129" ht="30" customHeight="1" s="80">
      <c r="A129" s="159" t="n"/>
      <c r="B129" s="155" t="inlineStr">
        <is>
          <t>HGC-Lib-26084544</t>
        </is>
      </c>
      <c r="C129" s="155" t="n">
        <v>67.8</v>
      </c>
      <c r="D129" s="156" t="n">
        <v>100</v>
      </c>
      <c r="E129" s="157" t="n">
        <v>12.5</v>
      </c>
      <c r="F129" s="157">
        <f>ROUND(E129/C129*G132,3)</f>
        <v/>
      </c>
      <c r="G129" s="155" t="inlineStr">
        <is>
          <t>10x 5'单细胞</t>
        </is>
      </c>
      <c r="H129" s="155" t="inlineStr">
        <is>
          <t>江西烈冰生物科技有限公司</t>
        </is>
      </c>
      <c r="I129" s="157" t="n"/>
      <c r="J129" s="155" t="n"/>
      <c r="K129" s="155" t="n"/>
      <c r="L129" s="77" t="n"/>
      <c r="M129" s="77" t="n"/>
      <c r="N129" s="77" t="n">
        <v>67.8</v>
      </c>
      <c r="O129" s="77" t="n"/>
      <c r="P129" s="77" t="inlineStr">
        <is>
          <t>未磷酸化</t>
        </is>
      </c>
      <c r="Q129" s="77" t="inlineStr">
        <is>
          <t>未环化</t>
        </is>
      </c>
    </row>
    <row r="130" ht="30" customHeight="1" s="80">
      <c r="A130" s="159" t="n"/>
      <c r="B130" s="155" t="inlineStr">
        <is>
          <t>HGC-Lib-26084545</t>
        </is>
      </c>
      <c r="C130" s="155" t="n">
        <v>45.58</v>
      </c>
      <c r="D130" s="156" t="n">
        <v>100</v>
      </c>
      <c r="E130" s="157" t="n">
        <v>12.5</v>
      </c>
      <c r="F130" s="157">
        <f>ROUND(E130/C130*G132,3)</f>
        <v/>
      </c>
      <c r="G130" s="155" t="inlineStr">
        <is>
          <t>10x 5'单细胞</t>
        </is>
      </c>
      <c r="H130" s="155" t="inlineStr">
        <is>
          <t>江西烈冰生物科技有限公司</t>
        </is>
      </c>
      <c r="I130" s="157" t="n"/>
      <c r="J130" s="155" t="n"/>
      <c r="K130" s="155" t="n"/>
      <c r="L130" s="77" t="n"/>
      <c r="M130" s="77" t="n"/>
      <c r="N130" s="77" t="n">
        <v>45.58</v>
      </c>
      <c r="O130" s="77" t="n"/>
      <c r="P130" s="77" t="inlineStr">
        <is>
          <t>未磷酸化</t>
        </is>
      </c>
      <c r="Q130" s="77" t="inlineStr">
        <is>
          <t>未环化</t>
        </is>
      </c>
    </row>
    <row r="131" ht="30" customHeight="1" s="80">
      <c r="A131" s="160" t="n"/>
      <c r="B131" s="155" t="inlineStr">
        <is>
          <t>HGC-Lib-26084546</t>
        </is>
      </c>
      <c r="C131" s="155" t="n">
        <v>88.01000000000001</v>
      </c>
      <c r="D131" s="156" t="n">
        <v>100</v>
      </c>
      <c r="E131" s="157" t="n">
        <v>12.5</v>
      </c>
      <c r="F131" s="157">
        <f>ROUND(E131/C131*G132,3)</f>
        <v/>
      </c>
      <c r="G131" s="155" t="inlineStr">
        <is>
          <t>10x 5'单细胞</t>
        </is>
      </c>
      <c r="H131" s="155" t="inlineStr">
        <is>
          <t>江西烈冰生物科技有限公司</t>
        </is>
      </c>
      <c r="I131" s="157" t="n"/>
      <c r="J131" s="155" t="n"/>
      <c r="K131" s="155" t="n"/>
      <c r="L131" s="77" t="n"/>
      <c r="M131" s="77" t="n"/>
      <c r="N131" s="77" t="n">
        <v>88.01000000000001</v>
      </c>
      <c r="O131" s="77" t="n"/>
      <c r="P131" s="77" t="inlineStr">
        <is>
          <t>未磷酸化</t>
        </is>
      </c>
      <c r="Q131" s="77" t="inlineStr">
        <is>
          <t>未环化</t>
        </is>
      </c>
    </row>
    <row r="132" ht="30" customHeight="1" s="80">
      <c r="A132" s="78" t="n"/>
      <c r="B132" s="78" t="n"/>
      <c r="C132" s="78" t="n"/>
      <c r="D132" s="86">
        <f>ROUND(SUM(D128:D131),2)</f>
        <v/>
      </c>
      <c r="E132" s="87" t="n">
        <v>50</v>
      </c>
      <c r="F132" s="87">
        <f>IF(G132&gt;1,ROUND(SUM(F128:F131)/G132*2,3),ROUND(SUM(F128:F131),3))</f>
        <v/>
      </c>
      <c r="G132" s="77" t="n">
        <v>4</v>
      </c>
      <c r="H132" s="78" t="n"/>
      <c r="I132" s="158">
        <f>ROUND(20-F132,3)</f>
        <v/>
      </c>
      <c r="J132" s="78" t="n"/>
      <c r="K132" s="78" t="n"/>
      <c r="L132" s="78" t="n"/>
      <c r="M132" s="77">
        <f>AVERAGE(M128:M131)</f>
        <v/>
      </c>
      <c r="N132" s="78" t="n"/>
      <c r="O132" s="78" t="n"/>
      <c r="P132" s="78" t="n"/>
      <c r="Q132" s="78" t="n"/>
    </row>
    <row r="133" ht="30" customHeight="1" s="80">
      <c r="A133" s="155" t="inlineStr">
        <is>
          <t>C11</t>
        </is>
      </c>
      <c r="B133" s="155" t="inlineStr">
        <is>
          <t>HGC-Lib-26084357</t>
        </is>
      </c>
      <c r="C133" s="155" t="n">
        <v>66.36</v>
      </c>
      <c r="D133" s="156" t="n">
        <v>6</v>
      </c>
      <c r="E133" s="157" t="n">
        <v>8.333</v>
      </c>
      <c r="F133" s="157">
        <f>ROUND(E133/C133*G139,3)</f>
        <v/>
      </c>
      <c r="G133" s="155" t="inlineStr">
        <is>
          <t>mRNA</t>
        </is>
      </c>
      <c r="H133" s="155" t="inlineStr">
        <is>
          <t>江西烈冰生物科技有限公司</t>
        </is>
      </c>
      <c r="I133" s="157" t="n"/>
      <c r="J133" s="155" t="n"/>
      <c r="K133" s="155" t="n"/>
      <c r="L133" s="77" t="inlineStr">
        <is>
          <t>加急</t>
        </is>
      </c>
      <c r="M133" s="77" t="n"/>
      <c r="N133" s="77" t="n">
        <v>66.36</v>
      </c>
      <c r="O133" s="77" t="n"/>
      <c r="P133" s="77" t="inlineStr">
        <is>
          <t>未磷酸化</t>
        </is>
      </c>
      <c r="Q133" s="77" t="inlineStr">
        <is>
          <t>未环化</t>
        </is>
      </c>
    </row>
    <row r="134" ht="30" customHeight="1" s="80">
      <c r="A134" s="159" t="n"/>
      <c r="B134" s="155" t="inlineStr">
        <is>
          <t>HGC-Lib-26084358</t>
        </is>
      </c>
      <c r="C134" s="155" t="n">
        <v>64.23</v>
      </c>
      <c r="D134" s="156" t="n">
        <v>6</v>
      </c>
      <c r="E134" s="157" t="n">
        <v>8.333</v>
      </c>
      <c r="F134" s="157">
        <f>ROUND(E134/C134*G139,3)</f>
        <v/>
      </c>
      <c r="G134" s="155" t="inlineStr">
        <is>
          <t>mRNA</t>
        </is>
      </c>
      <c r="H134" s="155" t="inlineStr">
        <is>
          <t>江西烈冰生物科技有限公司</t>
        </is>
      </c>
      <c r="I134" s="157" t="n"/>
      <c r="J134" s="155" t="n"/>
      <c r="K134" s="155" t="n"/>
      <c r="L134" s="77" t="inlineStr">
        <is>
          <t>加急</t>
        </is>
      </c>
      <c r="M134" s="77" t="n"/>
      <c r="N134" s="77" t="n">
        <v>64.23</v>
      </c>
      <c r="O134" s="77" t="n"/>
      <c r="P134" s="77" t="inlineStr">
        <is>
          <t>未磷酸化</t>
        </is>
      </c>
      <c r="Q134" s="77" t="inlineStr">
        <is>
          <t>未环化</t>
        </is>
      </c>
    </row>
    <row r="135" ht="30" customHeight="1" s="80">
      <c r="A135" s="159" t="n"/>
      <c r="B135" s="155" t="inlineStr">
        <is>
          <t>HGC-Lib-26084359</t>
        </is>
      </c>
      <c r="C135" s="155" t="n">
        <v>68.20999999999999</v>
      </c>
      <c r="D135" s="156" t="n">
        <v>6</v>
      </c>
      <c r="E135" s="157" t="n">
        <v>8.333</v>
      </c>
      <c r="F135" s="157">
        <f>ROUND(E135/C135*G139,3)</f>
        <v/>
      </c>
      <c r="G135" s="155" t="inlineStr">
        <is>
          <t>mRNA</t>
        </is>
      </c>
      <c r="H135" s="155" t="inlineStr">
        <is>
          <t>江西烈冰生物科技有限公司</t>
        </is>
      </c>
      <c r="I135" s="157" t="n"/>
      <c r="J135" s="155" t="n"/>
      <c r="K135" s="155" t="n"/>
      <c r="L135" s="77" t="inlineStr">
        <is>
          <t>加急</t>
        </is>
      </c>
      <c r="M135" s="77" t="n"/>
      <c r="N135" s="77" t="n">
        <v>68.20999999999999</v>
      </c>
      <c r="O135" s="77" t="n"/>
      <c r="P135" s="77" t="inlineStr">
        <is>
          <t>未磷酸化</t>
        </is>
      </c>
      <c r="Q135" s="77" t="inlineStr">
        <is>
          <t>未环化</t>
        </is>
      </c>
    </row>
    <row r="136" ht="30" customHeight="1" s="80">
      <c r="A136" s="159" t="n"/>
      <c r="B136" s="155" t="inlineStr">
        <is>
          <t>HGC-Lib-26084360</t>
        </is>
      </c>
      <c r="C136" s="155" t="n">
        <v>40.1</v>
      </c>
      <c r="D136" s="156" t="n">
        <v>6</v>
      </c>
      <c r="E136" s="157" t="n">
        <v>8.333</v>
      </c>
      <c r="F136" s="157">
        <f>ROUND(E136/C136*G139,3)</f>
        <v/>
      </c>
      <c r="G136" s="155" t="inlineStr">
        <is>
          <t>mRNA</t>
        </is>
      </c>
      <c r="H136" s="155" t="inlineStr">
        <is>
          <t>江西烈冰生物科技有限公司</t>
        </is>
      </c>
      <c r="I136" s="157" t="n"/>
      <c r="J136" s="155" t="n"/>
      <c r="K136" s="155" t="n"/>
      <c r="L136" s="77" t="inlineStr">
        <is>
          <t>加急</t>
        </is>
      </c>
      <c r="M136" s="77" t="n"/>
      <c r="N136" s="77" t="n">
        <v>40.1</v>
      </c>
      <c r="O136" s="77" t="n"/>
      <c r="P136" s="77" t="inlineStr">
        <is>
          <t>未磷酸化</t>
        </is>
      </c>
      <c r="Q136" s="77" t="inlineStr">
        <is>
          <t>未环化</t>
        </is>
      </c>
    </row>
    <row r="137" ht="30" customHeight="1" s="80">
      <c r="A137" s="159" t="n"/>
      <c r="B137" s="155" t="inlineStr">
        <is>
          <t>HGC-Lib-26084402</t>
        </is>
      </c>
      <c r="C137" s="155" t="n">
        <v>64.70999999999999</v>
      </c>
      <c r="D137" s="156" t="n">
        <v>6</v>
      </c>
      <c r="E137" s="157" t="n">
        <v>8.333</v>
      </c>
      <c r="F137" s="157">
        <f>ROUND(E137/C137*G139,3)</f>
        <v/>
      </c>
      <c r="G137" s="155" t="inlineStr">
        <is>
          <t>mRNA</t>
        </is>
      </c>
      <c r="H137" s="155" t="inlineStr">
        <is>
          <t>江西烈冰生物科技有限公司</t>
        </is>
      </c>
      <c r="I137" s="157" t="n"/>
      <c r="J137" s="155" t="n"/>
      <c r="K137" s="155" t="n"/>
      <c r="L137" s="77" t="inlineStr">
        <is>
          <t>加急</t>
        </is>
      </c>
      <c r="M137" s="77" t="n"/>
      <c r="N137" s="77" t="n">
        <v>64.70999999999999</v>
      </c>
      <c r="O137" s="77" t="n"/>
      <c r="P137" s="77" t="inlineStr">
        <is>
          <t>未磷酸化</t>
        </is>
      </c>
      <c r="Q137" s="77" t="inlineStr">
        <is>
          <t>未环化</t>
        </is>
      </c>
    </row>
    <row r="138" ht="30" customHeight="1" s="80">
      <c r="A138" s="160" t="n"/>
      <c r="B138" s="155" t="inlineStr">
        <is>
          <t>HGC-Lib-26084403</t>
        </is>
      </c>
      <c r="C138" s="155" t="n">
        <v>63.1</v>
      </c>
      <c r="D138" s="156" t="n">
        <v>6</v>
      </c>
      <c r="E138" s="157" t="n">
        <v>8.333</v>
      </c>
      <c r="F138" s="157">
        <f>ROUND(E138/C138*G139,3)</f>
        <v/>
      </c>
      <c r="G138" s="155" t="inlineStr">
        <is>
          <t>mRNA</t>
        </is>
      </c>
      <c r="H138" s="155" t="inlineStr">
        <is>
          <t>江西烈冰生物科技有限公司</t>
        </is>
      </c>
      <c r="I138" s="157" t="n"/>
      <c r="J138" s="155" t="n"/>
      <c r="K138" s="155" t="n"/>
      <c r="L138" s="77" t="inlineStr">
        <is>
          <t>加急</t>
        </is>
      </c>
      <c r="M138" s="77" t="n"/>
      <c r="N138" s="77" t="n">
        <v>63.1</v>
      </c>
      <c r="O138" s="77" t="n"/>
      <c r="P138" s="77" t="inlineStr">
        <is>
          <t>未磷酸化</t>
        </is>
      </c>
      <c r="Q138" s="77" t="inlineStr">
        <is>
          <t>未环化</t>
        </is>
      </c>
    </row>
    <row r="139" ht="30" customHeight="1" s="80">
      <c r="A139" s="78" t="n"/>
      <c r="B139" s="78" t="n"/>
      <c r="C139" s="78" t="n"/>
      <c r="D139" s="86">
        <f>ROUND(SUM(D133:D138),2)</f>
        <v/>
      </c>
      <c r="E139" s="87" t="n">
        <v>49.998</v>
      </c>
      <c r="F139" s="87">
        <f>IF(G139&gt;1,ROUND(SUM(F133:F138)/G139*2,3),ROUND(SUM(F133:F138),3))</f>
        <v/>
      </c>
      <c r="G139" s="77" t="n">
        <v>5</v>
      </c>
      <c r="H139" s="78" t="n"/>
      <c r="I139" s="158">
        <f>ROUND(20-F139,3)</f>
        <v/>
      </c>
      <c r="J139" s="78" t="n"/>
      <c r="K139" s="78" t="n"/>
      <c r="L139" s="78" t="n"/>
      <c r="M139" s="77">
        <f>AVERAGE(M133:M138)</f>
        <v/>
      </c>
      <c r="N139" s="78" t="n"/>
      <c r="O139" s="78" t="n"/>
      <c r="P139" s="78" t="n"/>
      <c r="Q139" s="78" t="n"/>
    </row>
    <row r="140" ht="30" customHeight="1" s="80">
      <c r="A140" s="155" t="inlineStr">
        <is>
          <t>C12</t>
        </is>
      </c>
      <c r="B140" s="155" t="inlineStr">
        <is>
          <t>HGC-Lib-26083318</t>
        </is>
      </c>
      <c r="C140" s="155" t="n">
        <v>14.44</v>
      </c>
      <c r="D140" s="156" t="n">
        <v>20</v>
      </c>
      <c r="E140" s="157" t="n">
        <v>16.667</v>
      </c>
      <c r="F140" s="157">
        <f>ROUND(E140/C140*G143,3)</f>
        <v/>
      </c>
      <c r="G140" s="155" t="inlineStr">
        <is>
          <t>HIC</t>
        </is>
      </c>
      <c r="H140" s="155" t="inlineStr">
        <is>
          <t>深圳湾实验室</t>
        </is>
      </c>
      <c r="I140" s="157" t="n"/>
      <c r="J140" s="155" t="n"/>
      <c r="K140" s="155" t="n"/>
      <c r="L140" s="77" t="inlineStr">
        <is>
          <t>HIC，留样加测备用</t>
        </is>
      </c>
      <c r="M140" s="77" t="n">
        <v>427</v>
      </c>
      <c r="N140" s="77" t="n">
        <v>14.44</v>
      </c>
      <c r="O140" s="77" t="n"/>
      <c r="P140" s="77" t="inlineStr">
        <is>
          <t>未磷酸化</t>
        </is>
      </c>
      <c r="Q140" s="77" t="inlineStr">
        <is>
          <t>未环化</t>
        </is>
      </c>
    </row>
    <row r="141" ht="30" customHeight="1" s="80">
      <c r="A141" s="159" t="n"/>
      <c r="B141" s="155" t="inlineStr">
        <is>
          <t>HGC-Lib-26083319</t>
        </is>
      </c>
      <c r="C141" s="155" t="n">
        <v>17.82</v>
      </c>
      <c r="D141" s="156" t="n">
        <v>20</v>
      </c>
      <c r="E141" s="157" t="n">
        <v>16.667</v>
      </c>
      <c r="F141" s="157">
        <f>ROUND(E141/C141*G143,3)</f>
        <v/>
      </c>
      <c r="G141" s="155" t="inlineStr">
        <is>
          <t>HIC</t>
        </is>
      </c>
      <c r="H141" s="155" t="inlineStr">
        <is>
          <t>深圳湾实验室</t>
        </is>
      </c>
      <c r="I141" s="157" t="n"/>
      <c r="J141" s="155" t="n"/>
      <c r="K141" s="155" t="n"/>
      <c r="L141" s="77" t="inlineStr">
        <is>
          <t>HIC，留样加测备用</t>
        </is>
      </c>
      <c r="M141" s="77" t="n">
        <v>427</v>
      </c>
      <c r="N141" s="77" t="n">
        <v>17.82</v>
      </c>
      <c r="O141" s="77" t="n"/>
      <c r="P141" s="77" t="inlineStr">
        <is>
          <t>未磷酸化</t>
        </is>
      </c>
      <c r="Q141" s="77" t="inlineStr">
        <is>
          <t>未环化</t>
        </is>
      </c>
    </row>
    <row r="142" ht="30" customHeight="1" s="80">
      <c r="A142" s="160" t="n"/>
      <c r="B142" s="155" t="inlineStr">
        <is>
          <t>HGC-Lib-26083320</t>
        </is>
      </c>
      <c r="C142" s="155" t="n">
        <v>37.65</v>
      </c>
      <c r="D142" s="156" t="n">
        <v>20</v>
      </c>
      <c r="E142" s="157" t="n">
        <v>16.667</v>
      </c>
      <c r="F142" s="157">
        <f>ROUND(E142/C142*G143,3)</f>
        <v/>
      </c>
      <c r="G142" s="155" t="inlineStr">
        <is>
          <t>HIC</t>
        </is>
      </c>
      <c r="H142" s="155" t="inlineStr">
        <is>
          <t>深圳湾实验室</t>
        </is>
      </c>
      <c r="I142" s="157" t="n"/>
      <c r="J142" s="155" t="n"/>
      <c r="K142" s="155" t="n"/>
      <c r="L142" s="77" t="inlineStr">
        <is>
          <t>HIC，留样加测备用</t>
        </is>
      </c>
      <c r="M142" s="77" t="n">
        <v>405</v>
      </c>
      <c r="N142" s="77" t="n">
        <v>37.65</v>
      </c>
      <c r="O142" s="77" t="n"/>
      <c r="P142" s="77" t="inlineStr">
        <is>
          <t>未磷酸化</t>
        </is>
      </c>
      <c r="Q142" s="77" t="inlineStr">
        <is>
          <t>未环化</t>
        </is>
      </c>
    </row>
    <row r="143" ht="30" customHeight="1" s="80">
      <c r="A143" s="78" t="n"/>
      <c r="B143" s="78" t="n"/>
      <c r="C143" s="78" t="n"/>
      <c r="D143" s="86">
        <f>ROUND(SUM(D140:D142),2)</f>
        <v/>
      </c>
      <c r="E143" s="87" t="n">
        <v>50.001</v>
      </c>
      <c r="F143" s="87">
        <f>IF(G143&gt;1,ROUND(SUM(F140:F142)/G143*2,3),ROUND(SUM(F140:F142),3))</f>
        <v/>
      </c>
      <c r="G143" s="77" t="n">
        <v>1</v>
      </c>
      <c r="H143" s="78" t="n"/>
      <c r="I143" s="158">
        <f>ROUND(20-F143,3)</f>
        <v/>
      </c>
      <c r="J143" s="78" t="n"/>
      <c r="K143" s="78" t="n"/>
      <c r="L143" s="78" t="n"/>
      <c r="M143" s="77">
        <f>AVERAGE(M140:M142)</f>
        <v/>
      </c>
      <c r="N143" s="78" t="n"/>
      <c r="O143" s="78" t="n"/>
      <c r="P143" s="78" t="n"/>
      <c r="Q143" s="78" t="n"/>
    </row>
    <row r="144" ht="30" customHeight="1" s="80">
      <c r="A144" s="155" t="inlineStr">
        <is>
          <t>C13</t>
        </is>
      </c>
      <c r="B144" s="155" t="inlineStr">
        <is>
          <t>HGC-Lib-26083315</t>
        </is>
      </c>
      <c r="C144" s="155" t="n">
        <v>71.14</v>
      </c>
      <c r="D144" s="156" t="n">
        <v>20</v>
      </c>
      <c r="E144" s="157" t="n">
        <v>25</v>
      </c>
      <c r="F144" s="157">
        <f>ROUND(E144/C144*G146,3)</f>
        <v/>
      </c>
      <c r="G144" s="155" t="inlineStr">
        <is>
          <t>WGBS</t>
        </is>
      </c>
      <c r="H144" s="155" t="inlineStr">
        <is>
          <t>深圳湾实验室</t>
        </is>
      </c>
      <c r="I144" s="157" t="n"/>
      <c r="J144" s="155" t="n"/>
      <c r="K144" s="155" t="n"/>
      <c r="L144" s="77" t="inlineStr">
        <is>
          <t>留样加测备用</t>
        </is>
      </c>
      <c r="M144" s="77" t="n">
        <v>352</v>
      </c>
      <c r="N144" s="77" t="n">
        <v>71.14</v>
      </c>
      <c r="O144" s="77" t="n"/>
      <c r="P144" s="77" t="inlineStr">
        <is>
          <t>未磷酸化</t>
        </is>
      </c>
      <c r="Q144" s="77" t="inlineStr">
        <is>
          <t>未环化</t>
        </is>
      </c>
    </row>
    <row r="145" ht="30" customHeight="1" s="80">
      <c r="A145" s="160" t="n"/>
      <c r="B145" s="155" t="inlineStr">
        <is>
          <t>HGC-Lib-26083316</t>
        </is>
      </c>
      <c r="C145" s="155" t="n">
        <v>17.12</v>
      </c>
      <c r="D145" s="156" t="n">
        <v>20</v>
      </c>
      <c r="E145" s="157" t="n">
        <v>25</v>
      </c>
      <c r="F145" s="157">
        <f>ROUND(E145/C145*G146,3)</f>
        <v/>
      </c>
      <c r="G145" s="155" t="inlineStr">
        <is>
          <t>WGBS</t>
        </is>
      </c>
      <c r="H145" s="155" t="inlineStr">
        <is>
          <t>深圳湾实验室</t>
        </is>
      </c>
      <c r="I145" s="157" t="n"/>
      <c r="J145" s="155" t="n"/>
      <c r="K145" s="155" t="n"/>
      <c r="L145" s="77" t="inlineStr">
        <is>
          <t>留样加测备用</t>
        </is>
      </c>
      <c r="M145" s="77" t="n">
        <v>293</v>
      </c>
      <c r="N145" s="77" t="n">
        <v>17.12</v>
      </c>
      <c r="O145" s="77" t="n"/>
      <c r="P145" s="77" t="inlineStr">
        <is>
          <t>未磷酸化</t>
        </is>
      </c>
      <c r="Q145" s="77" t="inlineStr">
        <is>
          <t>未环化</t>
        </is>
      </c>
    </row>
    <row r="146" ht="30" customHeight="1" s="80">
      <c r="A146" s="78" t="n"/>
      <c r="B146" s="78" t="n"/>
      <c r="C146" s="78" t="n"/>
      <c r="D146" s="86">
        <f>ROUND(SUM(D144:D145),2)</f>
        <v/>
      </c>
      <c r="E146" s="87" t="n">
        <v>50</v>
      </c>
      <c r="F146" s="87">
        <f>IF(G146&gt;1,ROUND(SUM(F144:F145)/G146*2,3),ROUND(SUM(F144:F145),3))</f>
        <v/>
      </c>
      <c r="G146" s="77" t="n">
        <v>1</v>
      </c>
      <c r="H146" s="78" t="n"/>
      <c r="I146" s="158">
        <f>ROUND(20-F146,3)</f>
        <v/>
      </c>
      <c r="J146" s="78" t="n"/>
      <c r="K146" s="78" t="n"/>
      <c r="L146" s="78" t="n"/>
      <c r="M146" s="77">
        <f>AVERAGE(M144:M145)</f>
        <v/>
      </c>
      <c r="N146" s="78" t="n"/>
      <c r="O146" s="78" t="n"/>
      <c r="P146" s="78" t="n"/>
      <c r="Q146" s="78" t="n"/>
    </row>
    <row r="147" ht="30" customHeight="1" s="80">
      <c r="A147" s="155" t="inlineStr">
        <is>
          <t>C14</t>
        </is>
      </c>
      <c r="B147" s="155" t="inlineStr">
        <is>
          <t>HGC-Lib-26083317</t>
        </is>
      </c>
      <c r="C147" s="155" t="n">
        <v>9.69</v>
      </c>
      <c r="D147" s="156" t="n">
        <v>20</v>
      </c>
      <c r="E147" s="157" t="n">
        <v>50</v>
      </c>
      <c r="F147" s="157">
        <f>ROUND(E147/C147*G148,3)</f>
        <v/>
      </c>
      <c r="G147" s="155" t="inlineStr">
        <is>
          <t>WGBS</t>
        </is>
      </c>
      <c r="H147" s="155" t="inlineStr">
        <is>
          <t>深圳湾实验室</t>
        </is>
      </c>
      <c r="I147" s="157" t="n"/>
      <c r="J147" s="155" t="n"/>
      <c r="K147" s="155" t="n"/>
      <c r="L147" s="77" t="inlineStr">
        <is>
          <t>留样加测备用</t>
        </is>
      </c>
      <c r="M147" s="77" t="n">
        <v>224</v>
      </c>
      <c r="N147" s="77" t="n">
        <v>9.69</v>
      </c>
      <c r="O147" s="77" t="n"/>
      <c r="P147" s="77" t="inlineStr">
        <is>
          <t>未磷酸化</t>
        </is>
      </c>
      <c r="Q147" s="77" t="inlineStr">
        <is>
          <t>未环化</t>
        </is>
      </c>
    </row>
    <row r="148" ht="30" customHeight="1" s="80">
      <c r="A148" s="78" t="n"/>
      <c r="B148" s="78" t="n"/>
      <c r="C148" s="78" t="n"/>
      <c r="D148" s="86">
        <f>ROUND(SUM(D147:D147),2)</f>
        <v/>
      </c>
      <c r="E148" s="87" t="n">
        <v>50</v>
      </c>
      <c r="F148" s="87">
        <f>IF(G148&gt;1,ROUND(SUM(F147:F147)/G148*2,3),ROUND(SUM(F147:F147),3))</f>
        <v/>
      </c>
      <c r="G148" s="77" t="n">
        <v>1</v>
      </c>
      <c r="H148" s="78" t="n"/>
      <c r="I148" s="158">
        <f>ROUND(20-F148,3)</f>
        <v/>
      </c>
      <c r="J148" s="78" t="n"/>
      <c r="K148" s="78" t="n"/>
      <c r="L148" s="78" t="n"/>
      <c r="M148" s="77">
        <f>AVERAGE(M147:M147)</f>
        <v/>
      </c>
      <c r="N148" s="78" t="n"/>
      <c r="O148" s="78" t="n"/>
      <c r="P148" s="78" t="n"/>
      <c r="Q148" s="78" t="n"/>
    </row>
    <row r="149" ht="30" customHeight="1" s="80">
      <c r="A149" s="161" t="inlineStr">
        <is>
          <t>C15</t>
        </is>
      </c>
      <c r="B149" s="155" t="inlineStr">
        <is>
          <t>HGC-Lib-26084717</t>
        </is>
      </c>
      <c r="C149" s="155" t="n">
        <v>14.31</v>
      </c>
      <c r="D149" s="156" t="n">
        <v>2</v>
      </c>
      <c r="E149" s="157" t="n">
        <v>37.5</v>
      </c>
      <c r="F149" s="157">
        <f>ROUND(E149/C149*G157,3)</f>
        <v/>
      </c>
      <c r="G149" s="155" t="inlineStr">
        <is>
          <t>华大-C4-oligo</t>
        </is>
      </c>
      <c r="H149" s="155" t="inlineStr">
        <is>
          <t>广州奥智生物科技有限公司</t>
        </is>
      </c>
      <c r="I149" s="157" t="n"/>
      <c r="J149" s="155" t="n"/>
      <c r="K149" s="155" t="n"/>
      <c r="L149" s="77" t="n"/>
      <c r="M149" s="77" t="n"/>
      <c r="N149" s="77" t="n">
        <v>14.31</v>
      </c>
      <c r="O149" s="77" t="inlineStr">
        <is>
          <t>华大单barcode文库</t>
        </is>
      </c>
      <c r="P149" s="77" t="inlineStr">
        <is>
          <t>已磷酸化</t>
        </is>
      </c>
      <c r="Q149" s="77" t="inlineStr">
        <is>
          <t>未环化</t>
        </is>
      </c>
    </row>
    <row r="150" ht="30" customHeight="1" s="80">
      <c r="A150" s="159" t="n"/>
      <c r="B150" s="155" t="inlineStr">
        <is>
          <t>HGC-Lib-26084723</t>
        </is>
      </c>
      <c r="C150" s="155" t="n">
        <v>11.74</v>
      </c>
      <c r="D150" s="156" t="n">
        <v>2</v>
      </c>
      <c r="E150" s="157" t="n">
        <v>37.5</v>
      </c>
      <c r="F150" s="157">
        <f>ROUND(E150/C150*G157,3)</f>
        <v/>
      </c>
      <c r="G150" s="155" t="inlineStr">
        <is>
          <t>华大-C4-oligo</t>
        </is>
      </c>
      <c r="H150" s="155" t="inlineStr">
        <is>
          <t>广州奥智生物科技有限公司</t>
        </is>
      </c>
      <c r="I150" s="157" t="n"/>
      <c r="J150" s="155" t="n"/>
      <c r="K150" s="155" t="n"/>
      <c r="L150" s="77" t="n"/>
      <c r="M150" s="77" t="n"/>
      <c r="N150" s="77" t="n">
        <v>11.74</v>
      </c>
      <c r="O150" s="77" t="inlineStr">
        <is>
          <t>华大单barcode文库</t>
        </is>
      </c>
      <c r="P150" s="77" t="inlineStr">
        <is>
          <t>已磷酸化</t>
        </is>
      </c>
      <c r="Q150" s="77" t="inlineStr">
        <is>
          <t>未环化</t>
        </is>
      </c>
    </row>
    <row r="151" ht="30" customHeight="1" s="80">
      <c r="A151" s="159" t="n"/>
      <c r="B151" s="155" t="inlineStr">
        <is>
          <t>HGC-Lib-26084731</t>
        </is>
      </c>
      <c r="C151" s="155" t="n">
        <v>15.09</v>
      </c>
      <c r="D151" s="156" t="n">
        <v>2</v>
      </c>
      <c r="E151" s="157" t="n">
        <v>37.5</v>
      </c>
      <c r="F151" s="157">
        <f>ROUND(E151/C151*G157,3)</f>
        <v/>
      </c>
      <c r="G151" s="155" t="inlineStr">
        <is>
          <t>华大-C4-oligo</t>
        </is>
      </c>
      <c r="H151" s="155" t="inlineStr">
        <is>
          <t>广州奥智生物科技有限公司</t>
        </is>
      </c>
      <c r="I151" s="157" t="n"/>
      <c r="J151" s="155" t="n"/>
      <c r="K151" s="155" t="n"/>
      <c r="L151" s="77" t="n"/>
      <c r="M151" s="77" t="n"/>
      <c r="N151" s="77" t="n">
        <v>15.09</v>
      </c>
      <c r="O151" s="77" t="inlineStr">
        <is>
          <t>华大单barcode文库</t>
        </is>
      </c>
      <c r="P151" s="77" t="inlineStr">
        <is>
          <t>已磷酸化</t>
        </is>
      </c>
      <c r="Q151" s="77" t="inlineStr">
        <is>
          <t>未环化</t>
        </is>
      </c>
    </row>
    <row r="152" ht="30" customHeight="1" s="80">
      <c r="A152" s="159" t="n"/>
      <c r="B152" s="155" t="inlineStr">
        <is>
          <t>HGC-Lib-26084733</t>
        </is>
      </c>
      <c r="C152" s="155" t="n">
        <v>12.9</v>
      </c>
      <c r="D152" s="156" t="n">
        <v>2</v>
      </c>
      <c r="E152" s="157" t="n">
        <v>37.5</v>
      </c>
      <c r="F152" s="157">
        <f>ROUND(E152/C152*G157,3)</f>
        <v/>
      </c>
      <c r="G152" s="155" t="inlineStr">
        <is>
          <t>华大-C4-oligo</t>
        </is>
      </c>
      <c r="H152" s="155" t="inlineStr">
        <is>
          <t>广州奥智生物科技有限公司</t>
        </is>
      </c>
      <c r="I152" s="157" t="n"/>
      <c r="J152" s="155" t="n"/>
      <c r="K152" s="155" t="n"/>
      <c r="L152" s="77" t="n"/>
      <c r="M152" s="77" t="n"/>
      <c r="N152" s="77" t="n">
        <v>12.9</v>
      </c>
      <c r="O152" s="77" t="inlineStr">
        <is>
          <t>华大单barcode文库</t>
        </is>
      </c>
      <c r="P152" s="77" t="inlineStr">
        <is>
          <t>已磷酸化</t>
        </is>
      </c>
      <c r="Q152" s="77" t="inlineStr">
        <is>
          <t>未环化</t>
        </is>
      </c>
    </row>
    <row r="153" ht="30" customHeight="1" s="80">
      <c r="A153" s="159" t="n"/>
      <c r="B153" s="155" t="inlineStr">
        <is>
          <t>HGC-Lib-26084735</t>
        </is>
      </c>
      <c r="C153" s="155" t="n">
        <v>14.1</v>
      </c>
      <c r="D153" s="156" t="n">
        <v>2</v>
      </c>
      <c r="E153" s="157" t="n">
        <v>37.5</v>
      </c>
      <c r="F153" s="157">
        <f>ROUND(E153/C153*G157,3)</f>
        <v/>
      </c>
      <c r="G153" s="155" t="inlineStr">
        <is>
          <t>华大-C4-oligo</t>
        </is>
      </c>
      <c r="H153" s="155" t="inlineStr">
        <is>
          <t>广州奥智生物科技有限公司</t>
        </is>
      </c>
      <c r="I153" s="157" t="n"/>
      <c r="J153" s="155" t="n"/>
      <c r="K153" s="155" t="n"/>
      <c r="L153" s="77" t="n"/>
      <c r="M153" s="77" t="n"/>
      <c r="N153" s="77" t="n">
        <v>14.1</v>
      </c>
      <c r="O153" s="77" t="inlineStr">
        <is>
          <t>华大单barcode文库</t>
        </is>
      </c>
      <c r="P153" s="77" t="inlineStr">
        <is>
          <t>已磷酸化</t>
        </is>
      </c>
      <c r="Q153" s="77" t="inlineStr">
        <is>
          <t>未环化</t>
        </is>
      </c>
    </row>
    <row r="154" ht="30" customHeight="1" s="80">
      <c r="A154" s="159" t="n"/>
      <c r="B154" s="155" t="inlineStr">
        <is>
          <t>HGC-Lib-26084737</t>
        </is>
      </c>
      <c r="C154" s="155" t="n">
        <v>13.18</v>
      </c>
      <c r="D154" s="156" t="n">
        <v>2</v>
      </c>
      <c r="E154" s="157" t="n">
        <v>37.5</v>
      </c>
      <c r="F154" s="157">
        <f>ROUND(E154/C154*G157,3)</f>
        <v/>
      </c>
      <c r="G154" s="155" t="inlineStr">
        <is>
          <t>华大-C4-oligo</t>
        </is>
      </c>
      <c r="H154" s="155" t="inlineStr">
        <is>
          <t>广州奥智生物科技有限公司</t>
        </is>
      </c>
      <c r="I154" s="157" t="n"/>
      <c r="J154" s="155" t="n"/>
      <c r="K154" s="155" t="n"/>
      <c r="L154" s="77" t="n"/>
      <c r="M154" s="77" t="n"/>
      <c r="N154" s="77" t="n">
        <v>13.18</v>
      </c>
      <c r="O154" s="77" t="inlineStr">
        <is>
          <t>华大单barcode文库</t>
        </is>
      </c>
      <c r="P154" s="77" t="inlineStr">
        <is>
          <t>已磷酸化</t>
        </is>
      </c>
      <c r="Q154" s="77" t="inlineStr">
        <is>
          <t>未环化</t>
        </is>
      </c>
    </row>
    <row r="155" ht="30" customHeight="1" s="80">
      <c r="A155" s="159" t="n"/>
      <c r="B155" s="155" t="inlineStr">
        <is>
          <t>HGC-Lib-26084741</t>
        </is>
      </c>
      <c r="C155" s="155" t="n">
        <v>12.52</v>
      </c>
      <c r="D155" s="156" t="n">
        <v>2</v>
      </c>
      <c r="E155" s="157" t="n">
        <v>37.5</v>
      </c>
      <c r="F155" s="157">
        <f>ROUND(E155/C155*G157,3)</f>
        <v/>
      </c>
      <c r="G155" s="155" t="inlineStr">
        <is>
          <t>华大-C4-oligo</t>
        </is>
      </c>
      <c r="H155" s="155" t="inlineStr">
        <is>
          <t>广州奥智生物科技有限公司</t>
        </is>
      </c>
      <c r="I155" s="157" t="n"/>
      <c r="J155" s="155" t="n"/>
      <c r="K155" s="155" t="n"/>
      <c r="L155" s="77" t="n"/>
      <c r="M155" s="77" t="n"/>
      <c r="N155" s="77" t="n">
        <v>12.52</v>
      </c>
      <c r="O155" s="77" t="inlineStr">
        <is>
          <t>华大单barcode文库</t>
        </is>
      </c>
      <c r="P155" s="77" t="inlineStr">
        <is>
          <t>已磷酸化</t>
        </is>
      </c>
      <c r="Q155" s="77" t="inlineStr">
        <is>
          <t>未环化</t>
        </is>
      </c>
    </row>
    <row r="156" ht="30" customHeight="1" s="80">
      <c r="A156" s="160" t="n"/>
      <c r="B156" s="155" t="inlineStr">
        <is>
          <t>HGC-Lib-26084749</t>
        </is>
      </c>
      <c r="C156" s="155" t="n">
        <v>33.94</v>
      </c>
      <c r="D156" s="156" t="n">
        <v>2</v>
      </c>
      <c r="E156" s="157" t="n">
        <v>37.5</v>
      </c>
      <c r="F156" s="157">
        <f>ROUND(E156/C156*G157,3)</f>
        <v/>
      </c>
      <c r="G156" s="155" t="inlineStr">
        <is>
          <t>华大-C4-oligo</t>
        </is>
      </c>
      <c r="H156" s="155" t="inlineStr">
        <is>
          <t>广州奥智生物科技有限公司</t>
        </is>
      </c>
      <c r="I156" s="157" t="n"/>
      <c r="J156" s="155" t="n"/>
      <c r="K156" s="155" t="n"/>
      <c r="L156" s="77" t="n"/>
      <c r="M156" s="77" t="n"/>
      <c r="N156" s="77" t="n">
        <v>33.94</v>
      </c>
      <c r="O156" s="77" t="inlineStr">
        <is>
          <t>华大单barcode文库</t>
        </is>
      </c>
      <c r="P156" s="77" t="inlineStr">
        <is>
          <t>已磷酸化</t>
        </is>
      </c>
      <c r="Q156" s="77" t="inlineStr">
        <is>
          <t>未环化</t>
        </is>
      </c>
    </row>
    <row r="157" ht="30" customHeight="1" s="80">
      <c r="A157" s="78" t="n"/>
      <c r="B157" s="78" t="n"/>
      <c r="C157" s="78" t="n"/>
      <c r="D157" s="86">
        <f>ROUND(SUM(D149:D156),2)</f>
        <v/>
      </c>
      <c r="E157" s="87" t="n">
        <v>300</v>
      </c>
      <c r="F157" s="87">
        <f>IF(G157&gt;1,ROUND(SUM(F149:F156)/G157*2,3),ROUND(SUM(F149:F156),3))</f>
        <v/>
      </c>
      <c r="G157" s="77" t="n">
        <v>1</v>
      </c>
      <c r="H157" s="78" t="n"/>
      <c r="I157" s="158">
        <f>ROUND(40-F157,3)</f>
        <v/>
      </c>
      <c r="J157" s="78" t="n"/>
      <c r="K157" s="78" t="n"/>
      <c r="L157" s="78" t="n"/>
      <c r="M157" s="77">
        <f>AVERAGE(M149:M156)</f>
        <v/>
      </c>
      <c r="N157" s="78" t="n"/>
      <c r="O157" s="78" t="n"/>
      <c r="P157" s="78" t="n"/>
      <c r="Q157" s="78" t="n"/>
    </row>
    <row r="158" ht="30" customHeight="1" s="80">
      <c r="A158" s="161" t="inlineStr">
        <is>
          <t>C16</t>
        </is>
      </c>
      <c r="B158" s="155" t="inlineStr">
        <is>
          <t>HGC-Lib-26083251</t>
        </is>
      </c>
      <c r="C158" s="155" t="n">
        <v>28.9</v>
      </c>
      <c r="D158" s="156" t="n">
        <v>88</v>
      </c>
      <c r="E158" s="157" t="n">
        <v>25.385</v>
      </c>
      <c r="F158" s="157">
        <f>ROUND(E158/C158*G169,3)</f>
        <v/>
      </c>
      <c r="G158" s="155" t="inlineStr">
        <is>
          <t>华大-C4-转录组</t>
        </is>
      </c>
      <c r="H158" s="155" t="inlineStr">
        <is>
          <t>广州奥智生物科技有限公司</t>
        </is>
      </c>
      <c r="I158" s="157" t="n"/>
      <c r="J158" s="155" t="n"/>
      <c r="K158" s="155" t="n"/>
      <c r="L158" s="77" t="n"/>
      <c r="M158" s="77" t="n"/>
      <c r="N158" s="77" t="n">
        <v>28.9</v>
      </c>
      <c r="O158" s="77" t="inlineStr">
        <is>
          <t>华大单barcode文库</t>
        </is>
      </c>
      <c r="P158" s="77" t="inlineStr">
        <is>
          <t>已磷酸化</t>
        </is>
      </c>
      <c r="Q158" s="77" t="inlineStr">
        <is>
          <t>未环化</t>
        </is>
      </c>
    </row>
    <row r="159" ht="30" customHeight="1" s="80">
      <c r="A159" s="159" t="n"/>
      <c r="B159" s="155" t="inlineStr">
        <is>
          <t>HGC-Lib-26083253</t>
        </is>
      </c>
      <c r="C159" s="155" t="n">
        <v>32.05</v>
      </c>
      <c r="D159" s="156" t="n">
        <v>88</v>
      </c>
      <c r="E159" s="157" t="n">
        <v>25.385</v>
      </c>
      <c r="F159" s="157">
        <f>ROUND(E159/C159*G169,3)</f>
        <v/>
      </c>
      <c r="G159" s="155" t="inlineStr">
        <is>
          <t>华大-C4-转录组</t>
        </is>
      </c>
      <c r="H159" s="155" t="inlineStr">
        <is>
          <t>广州奥智生物科技有限公司</t>
        </is>
      </c>
      <c r="I159" s="157" t="n"/>
      <c r="J159" s="155" t="n"/>
      <c r="K159" s="155" t="n"/>
      <c r="L159" s="77" t="n"/>
      <c r="M159" s="77" t="n"/>
      <c r="N159" s="77" t="n">
        <v>32.05</v>
      </c>
      <c r="O159" s="77" t="inlineStr">
        <is>
          <t>华大单barcode文库</t>
        </is>
      </c>
      <c r="P159" s="77" t="inlineStr">
        <is>
          <t>已磷酸化</t>
        </is>
      </c>
      <c r="Q159" s="77" t="inlineStr">
        <is>
          <t>未环化</t>
        </is>
      </c>
    </row>
    <row r="160" ht="30" customHeight="1" s="80">
      <c r="A160" s="159" t="n"/>
      <c r="B160" s="155" t="inlineStr">
        <is>
          <t>HGC-Lib-26083255</t>
        </is>
      </c>
      <c r="C160" s="155" t="n">
        <v>22.97</v>
      </c>
      <c r="D160" s="156" t="n">
        <v>88</v>
      </c>
      <c r="E160" s="157" t="n">
        <v>25.385</v>
      </c>
      <c r="F160" s="157">
        <f>ROUND(E160/C160*G169,3)</f>
        <v/>
      </c>
      <c r="G160" s="155" t="inlineStr">
        <is>
          <t>华大-C4-转录组</t>
        </is>
      </c>
      <c r="H160" s="155" t="inlineStr">
        <is>
          <t>广州奥智生物科技有限公司</t>
        </is>
      </c>
      <c r="I160" s="157" t="n"/>
      <c r="J160" s="155" t="n"/>
      <c r="K160" s="155" t="n"/>
      <c r="L160" s="77" t="n"/>
      <c r="M160" s="77" t="n"/>
      <c r="N160" s="77" t="n">
        <v>22.97</v>
      </c>
      <c r="O160" s="77" t="inlineStr">
        <is>
          <t>华大单barcode文库</t>
        </is>
      </c>
      <c r="P160" s="77" t="inlineStr">
        <is>
          <t>已磷酸化</t>
        </is>
      </c>
      <c r="Q160" s="77" t="inlineStr">
        <is>
          <t>未环化</t>
        </is>
      </c>
    </row>
    <row r="161" ht="30" customHeight="1" s="80">
      <c r="A161" s="159" t="n"/>
      <c r="B161" s="155" t="inlineStr">
        <is>
          <t>HGC-Lib-26084718</t>
        </is>
      </c>
      <c r="C161" s="155" t="n">
        <v>22.46</v>
      </c>
      <c r="D161" s="156" t="n">
        <v>88</v>
      </c>
      <c r="E161" s="157" t="n">
        <v>25.385</v>
      </c>
      <c r="F161" s="157">
        <f>ROUND(E161/C161*G169,3)</f>
        <v/>
      </c>
      <c r="G161" s="155" t="inlineStr">
        <is>
          <t>华大-C4-转录组</t>
        </is>
      </c>
      <c r="H161" s="155" t="inlineStr">
        <is>
          <t>广州奥智生物科技有限公司</t>
        </is>
      </c>
      <c r="I161" s="157" t="n"/>
      <c r="J161" s="155" t="n"/>
      <c r="K161" s="155" t="n"/>
      <c r="L161" s="77" t="n"/>
      <c r="M161" s="77" t="n"/>
      <c r="N161" s="77" t="n">
        <v>22.46</v>
      </c>
      <c r="O161" s="77" t="inlineStr">
        <is>
          <t>华大单barcode文库</t>
        </is>
      </c>
      <c r="P161" s="77" t="inlineStr">
        <is>
          <t>已磷酸化</t>
        </is>
      </c>
      <c r="Q161" s="77" t="inlineStr">
        <is>
          <t>未环化</t>
        </is>
      </c>
    </row>
    <row r="162" ht="30" customHeight="1" s="80">
      <c r="A162" s="159" t="n"/>
      <c r="B162" s="155" t="inlineStr">
        <is>
          <t>HGC-Lib-26084720</t>
        </is>
      </c>
      <c r="C162" s="155" t="n">
        <v>16.16</v>
      </c>
      <c r="D162" s="156" t="n">
        <v>88</v>
      </c>
      <c r="E162" s="157" t="n">
        <v>25.385</v>
      </c>
      <c r="F162" s="157">
        <f>ROUND(E162/C162*G169,3)</f>
        <v/>
      </c>
      <c r="G162" s="155" t="inlineStr">
        <is>
          <t>华大-C4-转录组</t>
        </is>
      </c>
      <c r="H162" s="155" t="inlineStr">
        <is>
          <t>广州奥智生物科技有限公司</t>
        </is>
      </c>
      <c r="I162" s="157" t="n"/>
      <c r="J162" s="155" t="n"/>
      <c r="K162" s="155" t="n"/>
      <c r="L162" s="77" t="n"/>
      <c r="M162" s="77" t="n"/>
      <c r="N162" s="77" t="n">
        <v>16.16</v>
      </c>
      <c r="O162" s="77" t="inlineStr">
        <is>
          <t>华大单barcode文库</t>
        </is>
      </c>
      <c r="P162" s="77" t="inlineStr">
        <is>
          <t>已磷酸化</t>
        </is>
      </c>
      <c r="Q162" s="77" t="inlineStr">
        <is>
          <t>未环化</t>
        </is>
      </c>
    </row>
    <row r="163" ht="30" customHeight="1" s="80">
      <c r="A163" s="159" t="n"/>
      <c r="B163" s="155" t="inlineStr">
        <is>
          <t>HGC-Lib-26084722</t>
        </is>
      </c>
      <c r="C163" s="155" t="n">
        <v>19.85</v>
      </c>
      <c r="D163" s="156" t="n">
        <v>88</v>
      </c>
      <c r="E163" s="157" t="n">
        <v>25.385</v>
      </c>
      <c r="F163" s="157">
        <f>ROUND(E163/C163*G169,3)</f>
        <v/>
      </c>
      <c r="G163" s="155" t="inlineStr">
        <is>
          <t>华大-C4-转录组</t>
        </is>
      </c>
      <c r="H163" s="155" t="inlineStr">
        <is>
          <t>广州奥智生物科技有限公司</t>
        </is>
      </c>
      <c r="I163" s="157" t="n"/>
      <c r="J163" s="155" t="n"/>
      <c r="K163" s="155" t="n"/>
      <c r="L163" s="77" t="n"/>
      <c r="M163" s="77" t="n"/>
      <c r="N163" s="77" t="n">
        <v>19.85</v>
      </c>
      <c r="O163" s="77" t="inlineStr">
        <is>
          <t>华大单barcode文库</t>
        </is>
      </c>
      <c r="P163" s="77" t="inlineStr">
        <is>
          <t>已磷酸化</t>
        </is>
      </c>
      <c r="Q163" s="77" t="inlineStr">
        <is>
          <t>未环化</t>
        </is>
      </c>
    </row>
    <row r="164" ht="30" customHeight="1" s="80">
      <c r="A164" s="159" t="n"/>
      <c r="B164" s="155" t="inlineStr">
        <is>
          <t>HGC-Lib-26084724</t>
        </is>
      </c>
      <c r="C164" s="155" t="n">
        <v>18.13</v>
      </c>
      <c r="D164" s="156" t="n">
        <v>88</v>
      </c>
      <c r="E164" s="157" t="n">
        <v>25.385</v>
      </c>
      <c r="F164" s="157">
        <f>ROUND(E164/C164*G169,3)</f>
        <v/>
      </c>
      <c r="G164" s="155" t="inlineStr">
        <is>
          <t>华大-C4-转录组</t>
        </is>
      </c>
      <c r="H164" s="155" t="inlineStr">
        <is>
          <t>广州奥智生物科技有限公司</t>
        </is>
      </c>
      <c r="I164" s="157" t="n"/>
      <c r="J164" s="155" t="n"/>
      <c r="K164" s="155" t="n"/>
      <c r="L164" s="77" t="n"/>
      <c r="M164" s="77" t="n"/>
      <c r="N164" s="77" t="n">
        <v>18.13</v>
      </c>
      <c r="O164" s="77" t="inlineStr">
        <is>
          <t>华大单barcode文库</t>
        </is>
      </c>
      <c r="P164" s="77" t="inlineStr">
        <is>
          <t>已磷酸化</t>
        </is>
      </c>
      <c r="Q164" s="77" t="inlineStr">
        <is>
          <t>未环化</t>
        </is>
      </c>
    </row>
    <row r="165" ht="30" customHeight="1" s="80">
      <c r="A165" s="159" t="n"/>
      <c r="B165" s="155" t="inlineStr">
        <is>
          <t>HGC-Lib-26084730</t>
        </is>
      </c>
      <c r="C165" s="155" t="n">
        <v>22.74</v>
      </c>
      <c r="D165" s="156" t="n">
        <v>106</v>
      </c>
      <c r="E165" s="157" t="n">
        <v>30.577</v>
      </c>
      <c r="F165" s="157">
        <f>ROUND(E165/C165*G169,3)</f>
        <v/>
      </c>
      <c r="G165" s="155" t="inlineStr">
        <is>
          <t>华大-C4-转录组</t>
        </is>
      </c>
      <c r="H165" s="155" t="inlineStr">
        <is>
          <t>广州奥智生物科技有限公司</t>
        </is>
      </c>
      <c r="I165" s="157" t="n"/>
      <c r="J165" s="155" t="n"/>
      <c r="K165" s="155" t="n"/>
      <c r="L165" s="77" t="n"/>
      <c r="M165" s="77" t="n"/>
      <c r="N165" s="77" t="n">
        <v>22.74</v>
      </c>
      <c r="O165" s="77" t="inlineStr">
        <is>
          <t>华大单barcode文库</t>
        </is>
      </c>
      <c r="P165" s="77" t="inlineStr">
        <is>
          <t>已磷酸化</t>
        </is>
      </c>
      <c r="Q165" s="77" t="inlineStr">
        <is>
          <t>未环化</t>
        </is>
      </c>
    </row>
    <row r="166" ht="30" customHeight="1" s="80">
      <c r="A166" s="159" t="n"/>
      <c r="B166" s="155" t="inlineStr">
        <is>
          <t>HGC-Lib-26084732</t>
        </is>
      </c>
      <c r="C166" s="155" t="n">
        <v>17.93</v>
      </c>
      <c r="D166" s="156" t="n">
        <v>106</v>
      </c>
      <c r="E166" s="157" t="n">
        <v>30.577</v>
      </c>
      <c r="F166" s="157">
        <f>ROUND(E166/C166*G169,3)</f>
        <v/>
      </c>
      <c r="G166" s="155" t="inlineStr">
        <is>
          <t>华大-C4-转录组</t>
        </is>
      </c>
      <c r="H166" s="155" t="inlineStr">
        <is>
          <t>广州奥智生物科技有限公司</t>
        </is>
      </c>
      <c r="I166" s="157" t="n"/>
      <c r="J166" s="155" t="n"/>
      <c r="K166" s="155" t="n"/>
      <c r="L166" s="77" t="n"/>
      <c r="M166" s="77" t="n"/>
      <c r="N166" s="77" t="n">
        <v>17.93</v>
      </c>
      <c r="O166" s="77" t="inlineStr">
        <is>
          <t>华大单barcode文库</t>
        </is>
      </c>
      <c r="P166" s="77" t="inlineStr">
        <is>
          <t>已磷酸化</t>
        </is>
      </c>
      <c r="Q166" s="77" t="inlineStr">
        <is>
          <t>未环化</t>
        </is>
      </c>
    </row>
    <row r="167" ht="30" customHeight="1" s="80">
      <c r="A167" s="159" t="n"/>
      <c r="B167" s="155" t="inlineStr">
        <is>
          <t>HGC-Lib-26084734</t>
        </is>
      </c>
      <c r="C167" s="155" t="n">
        <v>17.82</v>
      </c>
      <c r="D167" s="156" t="n">
        <v>106</v>
      </c>
      <c r="E167" s="157" t="n">
        <v>30.577</v>
      </c>
      <c r="F167" s="157">
        <f>ROUND(E167/C167*G169,3)</f>
        <v/>
      </c>
      <c r="G167" s="155" t="inlineStr">
        <is>
          <t>华大-C4-转录组</t>
        </is>
      </c>
      <c r="H167" s="155" t="inlineStr">
        <is>
          <t>广州奥智生物科技有限公司</t>
        </is>
      </c>
      <c r="I167" s="157" t="n"/>
      <c r="J167" s="155" t="n"/>
      <c r="K167" s="155" t="n"/>
      <c r="L167" s="77" t="n"/>
      <c r="M167" s="77" t="n"/>
      <c r="N167" s="77" t="n">
        <v>17.82</v>
      </c>
      <c r="O167" s="77" t="inlineStr">
        <is>
          <t>华大单barcode文库</t>
        </is>
      </c>
      <c r="P167" s="77" t="inlineStr">
        <is>
          <t>已磷酸化</t>
        </is>
      </c>
      <c r="Q167" s="77" t="inlineStr">
        <is>
          <t>未环化</t>
        </is>
      </c>
    </row>
    <row r="168" ht="30" customHeight="1" s="80">
      <c r="A168" s="160" t="n"/>
      <c r="B168" s="155" t="inlineStr">
        <is>
          <t>HGC-Lib-26084736</t>
        </is>
      </c>
      <c r="C168" s="155" t="n">
        <v>14.22</v>
      </c>
      <c r="D168" s="156" t="n">
        <v>106</v>
      </c>
      <c r="E168" s="157" t="n">
        <v>30.577</v>
      </c>
      <c r="F168" s="157">
        <f>ROUND(E168/C168*G169,3)</f>
        <v/>
      </c>
      <c r="G168" s="155" t="inlineStr">
        <is>
          <t>华大-C4-转录组</t>
        </is>
      </c>
      <c r="H168" s="155" t="inlineStr">
        <is>
          <t>广州奥智生物科技有限公司</t>
        </is>
      </c>
      <c r="I168" s="157" t="n"/>
      <c r="J168" s="155" t="n"/>
      <c r="K168" s="155" t="n"/>
      <c r="L168" s="77" t="n"/>
      <c r="M168" s="77" t="n"/>
      <c r="N168" s="77" t="n">
        <v>14.22</v>
      </c>
      <c r="O168" s="77" t="inlineStr">
        <is>
          <t>华大单barcode文库</t>
        </is>
      </c>
      <c r="P168" s="77" t="inlineStr">
        <is>
          <t>已磷酸化</t>
        </is>
      </c>
      <c r="Q168" s="77" t="inlineStr">
        <is>
          <t>未环化</t>
        </is>
      </c>
    </row>
    <row r="169" ht="30" customHeight="1" s="80">
      <c r="A169" s="78" t="n"/>
      <c r="B169" s="78" t="n"/>
      <c r="C169" s="78" t="n"/>
      <c r="D169" s="86">
        <f>ROUND(SUM(D158:D168),2)</f>
        <v/>
      </c>
      <c r="E169" s="87" t="n">
        <v>300.003</v>
      </c>
      <c r="F169" s="87">
        <f>IF(G169&gt;1,ROUND(SUM(F158:F168)/G169*2,3),ROUND(SUM(F158:F168),3))</f>
        <v/>
      </c>
      <c r="G169" s="77" t="n">
        <v>1</v>
      </c>
      <c r="H169" s="78" t="n"/>
      <c r="I169" s="158">
        <f>ROUND(40-F169,3)</f>
        <v/>
      </c>
      <c r="J169" s="78" t="n"/>
      <c r="K169" s="78" t="n"/>
      <c r="L169" s="78" t="n"/>
      <c r="M169" s="77">
        <f>AVERAGE(M158:M168)</f>
        <v/>
      </c>
      <c r="N169" s="78" t="n"/>
      <c r="O169" s="78" t="n"/>
      <c r="P169" s="78" t="n"/>
      <c r="Q169" s="78" t="n"/>
    </row>
    <row r="170" ht="30" customHeight="1" s="80">
      <c r="A170" s="161" t="inlineStr">
        <is>
          <t>C17</t>
        </is>
      </c>
      <c r="B170" s="155" t="inlineStr">
        <is>
          <t>HGC-Lib-26083193</t>
        </is>
      </c>
      <c r="C170" s="155" t="n">
        <v>29.18</v>
      </c>
      <c r="D170" s="156" t="n">
        <v>9.66</v>
      </c>
      <c r="E170" s="157" t="n">
        <v>69.59699999999999</v>
      </c>
      <c r="F170" s="157">
        <f>ROUND(E170/C170*G172,3)</f>
        <v/>
      </c>
      <c r="G170" s="155" t="inlineStr">
        <is>
          <t>华大-C4-转录组</t>
        </is>
      </c>
      <c r="H170" s="155" t="inlineStr">
        <is>
          <t>广州奥智生物科技有限公司</t>
        </is>
      </c>
      <c r="I170" s="157" t="n"/>
      <c r="J170" s="155" t="n"/>
      <c r="K170" s="155" t="n"/>
      <c r="L170" s="77" t="inlineStr">
        <is>
          <t>补测_260709_R21016100250033_ML150008997</t>
        </is>
      </c>
      <c r="M170" s="77" t="n"/>
      <c r="N170" s="77" t="n">
        <v>29.18</v>
      </c>
      <c r="O170" s="77" t="inlineStr">
        <is>
          <t>华大单barcode文库</t>
        </is>
      </c>
      <c r="P170" s="77" t="inlineStr">
        <is>
          <t>已磷酸化</t>
        </is>
      </c>
      <c r="Q170" s="77" t="inlineStr">
        <is>
          <t>未环化</t>
        </is>
      </c>
    </row>
    <row r="171" ht="30" customHeight="1" s="80">
      <c r="A171" s="160" t="n"/>
      <c r="B171" s="155" t="inlineStr">
        <is>
          <t>HGC-Lib-26083201</t>
        </is>
      </c>
      <c r="C171" s="155" t="n">
        <v>19.86</v>
      </c>
      <c r="D171" s="156" t="n">
        <v>31.98</v>
      </c>
      <c r="E171" s="157" t="n">
        <v>230.403</v>
      </c>
      <c r="F171" s="157">
        <f>ROUND(E171/C171*G172,3)</f>
        <v/>
      </c>
      <c r="G171" s="155" t="inlineStr">
        <is>
          <t>华大-C4-转录组</t>
        </is>
      </c>
      <c r="H171" s="155" t="inlineStr">
        <is>
          <t>广州奥智生物科技有限公司</t>
        </is>
      </c>
      <c r="I171" s="157" t="n"/>
      <c r="J171" s="155" t="n"/>
      <c r="K171" s="155" t="n"/>
      <c r="L171" s="77" t="inlineStr">
        <is>
          <t>补测_260709_R21016100250033_ML150008997</t>
        </is>
      </c>
      <c r="M171" s="77" t="n"/>
      <c r="N171" s="77" t="n">
        <v>19.86</v>
      </c>
      <c r="O171" s="77" t="inlineStr">
        <is>
          <t>华大单barcode文库</t>
        </is>
      </c>
      <c r="P171" s="77" t="inlineStr">
        <is>
          <t>已磷酸化</t>
        </is>
      </c>
      <c r="Q171" s="77" t="inlineStr">
        <is>
          <t>未环化</t>
        </is>
      </c>
    </row>
    <row r="172" ht="30" customHeight="1" s="80">
      <c r="A172" s="78" t="n"/>
      <c r="B172" s="78" t="n"/>
      <c r="C172" s="78" t="n"/>
      <c r="D172" s="86">
        <f>ROUND(SUM(D170:D171),2)</f>
        <v/>
      </c>
      <c r="E172" s="87" t="n">
        <v>300</v>
      </c>
      <c r="F172" s="87">
        <f>IF(G172&gt;1,ROUND(SUM(F170:F171)/G172*2,3),ROUND(SUM(F170:F171),3))</f>
        <v/>
      </c>
      <c r="G172" s="77" t="n">
        <v>1</v>
      </c>
      <c r="H172" s="78" t="n"/>
      <c r="I172" s="158">
        <f>ROUND(40-F172,3)</f>
        <v/>
      </c>
      <c r="J172" s="78" t="n"/>
      <c r="K172" s="78" t="n"/>
      <c r="L172" s="78" t="n"/>
      <c r="M172" s="77">
        <f>AVERAGE(M170:M171)</f>
        <v/>
      </c>
      <c r="N172" s="78" t="n"/>
      <c r="O172" s="78" t="n"/>
      <c r="P172" s="78" t="n"/>
      <c r="Q172" s="78" t="n"/>
    </row>
    <row r="173" ht="30" customHeight="1" s="80">
      <c r="A173" s="161" t="inlineStr">
        <is>
          <t>C18</t>
        </is>
      </c>
      <c r="B173" s="155" t="inlineStr">
        <is>
          <t>HGC-Lib-26083209</t>
        </is>
      </c>
      <c r="C173" s="155" t="n">
        <v>19.87</v>
      </c>
      <c r="D173" s="156" t="n">
        <v>38.17</v>
      </c>
      <c r="E173" s="157" t="n">
        <v>16.592</v>
      </c>
      <c r="F173" s="157">
        <f>ROUND(E173/C173*G181,3)</f>
        <v/>
      </c>
      <c r="G173" s="155" t="inlineStr">
        <is>
          <t>华大-C4-转录组</t>
        </is>
      </c>
      <c r="H173" s="155" t="inlineStr">
        <is>
          <t>广州奥智生物科技有限公司</t>
        </is>
      </c>
      <c r="I173" s="157" t="n"/>
      <c r="J173" s="155" t="n"/>
      <c r="K173" s="155" t="n"/>
      <c r="L173" s="77" t="inlineStr">
        <is>
          <t>补测_260709_R21016100250033_ML150008997</t>
        </is>
      </c>
      <c r="M173" s="77" t="n"/>
      <c r="N173" s="77" t="n">
        <v>19.87</v>
      </c>
      <c r="O173" s="77" t="inlineStr">
        <is>
          <t>华大单barcode文库</t>
        </is>
      </c>
      <c r="P173" s="77" t="inlineStr">
        <is>
          <t>已磷酸化</t>
        </is>
      </c>
      <c r="Q173" s="77" t="inlineStr">
        <is>
          <t>未环化</t>
        </is>
      </c>
    </row>
    <row r="174" ht="30" customHeight="1" s="80">
      <c r="A174" s="159" t="n"/>
      <c r="B174" s="155" t="inlineStr">
        <is>
          <t>HGC-Lib-26084738</t>
        </is>
      </c>
      <c r="C174" s="155" t="n">
        <v>18.57</v>
      </c>
      <c r="D174" s="156" t="n">
        <v>106</v>
      </c>
      <c r="E174" s="157" t="n">
        <v>46.076</v>
      </c>
      <c r="F174" s="157">
        <f>ROUND(E174/C174*G181,3)</f>
        <v/>
      </c>
      <c r="G174" s="155" t="inlineStr">
        <is>
          <t>华大-C4-转录组</t>
        </is>
      </c>
      <c r="H174" s="155" t="inlineStr">
        <is>
          <t>广州奥智生物科技有限公司</t>
        </is>
      </c>
      <c r="I174" s="157" t="n"/>
      <c r="J174" s="155" t="n"/>
      <c r="K174" s="155" t="n"/>
      <c r="L174" s="77" t="n"/>
      <c r="M174" s="77" t="n"/>
      <c r="N174" s="77" t="n">
        <v>18.57</v>
      </c>
      <c r="O174" s="77" t="inlineStr">
        <is>
          <t>华大单barcode文库</t>
        </is>
      </c>
      <c r="P174" s="77" t="inlineStr">
        <is>
          <t>已磷酸化</t>
        </is>
      </c>
      <c r="Q174" s="77" t="inlineStr">
        <is>
          <t>未环化</t>
        </is>
      </c>
    </row>
    <row r="175" ht="30" customHeight="1" s="80">
      <c r="A175" s="159" t="n"/>
      <c r="B175" s="155" t="inlineStr">
        <is>
          <t>HGC-Lib-26084740</t>
        </is>
      </c>
      <c r="C175" s="155" t="n">
        <v>14.41</v>
      </c>
      <c r="D175" s="156" t="n">
        <v>106</v>
      </c>
      <c r="E175" s="157" t="n">
        <v>46.076</v>
      </c>
      <c r="F175" s="157">
        <f>ROUND(E175/C175*G181,3)</f>
        <v/>
      </c>
      <c r="G175" s="155" t="inlineStr">
        <is>
          <t>华大-C4-转录组</t>
        </is>
      </c>
      <c r="H175" s="155" t="inlineStr">
        <is>
          <t>广州奥智生物科技有限公司</t>
        </is>
      </c>
      <c r="I175" s="157" t="n"/>
      <c r="J175" s="155" t="n"/>
      <c r="K175" s="155" t="n"/>
      <c r="L175" s="77" t="n"/>
      <c r="M175" s="77" t="n"/>
      <c r="N175" s="77" t="n">
        <v>14.41</v>
      </c>
      <c r="O175" s="77" t="inlineStr">
        <is>
          <t>华大单barcode文库</t>
        </is>
      </c>
      <c r="P175" s="77" t="inlineStr">
        <is>
          <t>已磷酸化</t>
        </is>
      </c>
      <c r="Q175" s="77" t="inlineStr">
        <is>
          <t>未环化</t>
        </is>
      </c>
    </row>
    <row r="176" ht="30" customHeight="1" s="80">
      <c r="A176" s="159" t="n"/>
      <c r="B176" s="155" t="inlineStr">
        <is>
          <t>HGC-Lib-26084742</t>
        </is>
      </c>
      <c r="C176" s="155" t="n">
        <v>19.72</v>
      </c>
      <c r="D176" s="156" t="n">
        <v>88</v>
      </c>
      <c r="E176" s="157" t="n">
        <v>38.251</v>
      </c>
      <c r="F176" s="157">
        <f>ROUND(E176/C176*G181,3)</f>
        <v/>
      </c>
      <c r="G176" s="155" t="inlineStr">
        <is>
          <t>华大-C4-转录组</t>
        </is>
      </c>
      <c r="H176" s="155" t="inlineStr">
        <is>
          <t>广州奥智生物科技有限公司</t>
        </is>
      </c>
      <c r="I176" s="157" t="n"/>
      <c r="J176" s="155" t="n"/>
      <c r="K176" s="155" t="n"/>
      <c r="L176" s="77" t="n"/>
      <c r="M176" s="77" t="n"/>
      <c r="N176" s="77" t="n">
        <v>19.72</v>
      </c>
      <c r="O176" s="77" t="inlineStr">
        <is>
          <t>华大单barcode文库</t>
        </is>
      </c>
      <c r="P176" s="77" t="inlineStr">
        <is>
          <t>已磷酸化</t>
        </is>
      </c>
      <c r="Q176" s="77" t="inlineStr">
        <is>
          <t>未环化</t>
        </is>
      </c>
    </row>
    <row r="177" ht="30" customHeight="1" s="80">
      <c r="A177" s="159" t="n"/>
      <c r="B177" s="155" t="inlineStr">
        <is>
          <t>HGC-Lib-26084744</t>
        </is>
      </c>
      <c r="C177" s="155" t="n">
        <v>20.51</v>
      </c>
      <c r="D177" s="156" t="n">
        <v>88</v>
      </c>
      <c r="E177" s="157" t="n">
        <v>38.251</v>
      </c>
      <c r="F177" s="157">
        <f>ROUND(E177/C177*G181,3)</f>
        <v/>
      </c>
      <c r="G177" s="155" t="inlineStr">
        <is>
          <t>华大-C4-转录组</t>
        </is>
      </c>
      <c r="H177" s="155" t="inlineStr">
        <is>
          <t>广州奥智生物科技有限公司</t>
        </is>
      </c>
      <c r="I177" s="157" t="n"/>
      <c r="J177" s="155" t="n"/>
      <c r="K177" s="155" t="n"/>
      <c r="L177" s="77" t="n"/>
      <c r="M177" s="77" t="n"/>
      <c r="N177" s="77" t="n">
        <v>20.51</v>
      </c>
      <c r="O177" s="77" t="inlineStr">
        <is>
          <t>华大单barcode文库</t>
        </is>
      </c>
      <c r="P177" s="77" t="inlineStr">
        <is>
          <t>已磷酸化</t>
        </is>
      </c>
      <c r="Q177" s="77" t="inlineStr">
        <is>
          <t>未环化</t>
        </is>
      </c>
    </row>
    <row r="178" ht="30" customHeight="1" s="80">
      <c r="A178" s="159" t="n"/>
      <c r="B178" s="155" t="inlineStr">
        <is>
          <t>HGC-Lib-26084746</t>
        </is>
      </c>
      <c r="C178" s="155" t="n">
        <v>22.76</v>
      </c>
      <c r="D178" s="156" t="n">
        <v>88</v>
      </c>
      <c r="E178" s="157" t="n">
        <v>38.251</v>
      </c>
      <c r="F178" s="157">
        <f>ROUND(E178/C178*G181,3)</f>
        <v/>
      </c>
      <c r="G178" s="155" t="inlineStr">
        <is>
          <t>华大-C4-转录组</t>
        </is>
      </c>
      <c r="H178" s="155" t="inlineStr">
        <is>
          <t>广州奥智生物科技有限公司</t>
        </is>
      </c>
      <c r="I178" s="157" t="n"/>
      <c r="J178" s="155" t="n"/>
      <c r="K178" s="155" t="n"/>
      <c r="L178" s="77" t="n"/>
      <c r="M178" s="77" t="n"/>
      <c r="N178" s="77" t="n">
        <v>22.76</v>
      </c>
      <c r="O178" s="77" t="inlineStr">
        <is>
          <t>华大单barcode文库</t>
        </is>
      </c>
      <c r="P178" s="77" t="inlineStr">
        <is>
          <t>已磷酸化</t>
        </is>
      </c>
      <c r="Q178" s="77" t="inlineStr">
        <is>
          <t>未环化</t>
        </is>
      </c>
    </row>
    <row r="179" ht="30" customHeight="1" s="80">
      <c r="A179" s="159" t="n"/>
      <c r="B179" s="155" t="inlineStr">
        <is>
          <t>HGC-Lib-26084748</t>
        </is>
      </c>
      <c r="C179" s="155" t="n">
        <v>43.64</v>
      </c>
      <c r="D179" s="156" t="n">
        <v>88</v>
      </c>
      <c r="E179" s="157" t="n">
        <v>38.251</v>
      </c>
      <c r="F179" s="157">
        <f>ROUND(E179/C179*G181,3)</f>
        <v/>
      </c>
      <c r="G179" s="155" t="inlineStr">
        <is>
          <t>华大-C4-转录组</t>
        </is>
      </c>
      <c r="H179" s="155" t="inlineStr">
        <is>
          <t>广州奥智生物科技有限公司</t>
        </is>
      </c>
      <c r="I179" s="157" t="n"/>
      <c r="J179" s="155" t="n"/>
      <c r="K179" s="155" t="n"/>
      <c r="L179" s="77" t="n"/>
      <c r="M179" s="77" t="n"/>
      <c r="N179" s="77" t="n">
        <v>43.64</v>
      </c>
      <c r="O179" s="77" t="inlineStr">
        <is>
          <t>华大单barcode文库</t>
        </is>
      </c>
      <c r="P179" s="77" t="inlineStr">
        <is>
          <t>已磷酸化</t>
        </is>
      </c>
      <c r="Q179" s="77" t="inlineStr">
        <is>
          <t>未环化</t>
        </is>
      </c>
    </row>
    <row r="180" ht="30" customHeight="1" s="80">
      <c r="A180" s="160" t="n"/>
      <c r="B180" s="155" t="inlineStr">
        <is>
          <t>HGC-Lib-26084750</t>
        </is>
      </c>
      <c r="C180" s="155" t="n">
        <v>42.57</v>
      </c>
      <c r="D180" s="156" t="n">
        <v>88</v>
      </c>
      <c r="E180" s="157" t="n">
        <v>38.251</v>
      </c>
      <c r="F180" s="157">
        <f>ROUND(E180/C180*G181,3)</f>
        <v/>
      </c>
      <c r="G180" s="155" t="inlineStr">
        <is>
          <t>华大-C4-转录组</t>
        </is>
      </c>
      <c r="H180" s="155" t="inlineStr">
        <is>
          <t>广州奥智生物科技有限公司</t>
        </is>
      </c>
      <c r="I180" s="157" t="n"/>
      <c r="J180" s="155" t="n"/>
      <c r="K180" s="155" t="n"/>
      <c r="L180" s="77" t="n"/>
      <c r="M180" s="77" t="n"/>
      <c r="N180" s="77" t="n">
        <v>42.57</v>
      </c>
      <c r="O180" s="77" t="inlineStr">
        <is>
          <t>华大单barcode文库</t>
        </is>
      </c>
      <c r="P180" s="77" t="inlineStr">
        <is>
          <t>已磷酸化</t>
        </is>
      </c>
      <c r="Q180" s="77" t="inlineStr">
        <is>
          <t>未环化</t>
        </is>
      </c>
    </row>
    <row r="181" ht="30" customHeight="1" s="80">
      <c r="A181" s="78" t="n"/>
      <c r="B181" s="78" t="n"/>
      <c r="C181" s="78" t="n"/>
      <c r="D181" s="86">
        <f>ROUND(SUM(D173:D180),2)</f>
        <v/>
      </c>
      <c r="E181" s="87" t="n">
        <v>299.999</v>
      </c>
      <c r="F181" s="87">
        <f>IF(G181&gt;1,ROUND(SUM(F173:F180)/G181*2,3),ROUND(SUM(F173:F180),3))</f>
        <v/>
      </c>
      <c r="G181" s="77" t="n">
        <v>1</v>
      </c>
      <c r="H181" s="78" t="n"/>
      <c r="I181" s="158">
        <f>ROUND(40-F181,3)</f>
        <v/>
      </c>
      <c r="J181" s="78" t="n"/>
      <c r="K181" s="78" t="n"/>
      <c r="L181" s="78" t="n"/>
      <c r="M181" s="77">
        <f>AVERAGE(M173:M180)</f>
        <v/>
      </c>
      <c r="N181" s="78" t="n"/>
      <c r="O181" s="78" t="n"/>
      <c r="P181" s="78" t="n"/>
      <c r="Q181" s="78" t="n"/>
    </row>
    <row r="182" ht="30" customHeight="1" s="80">
      <c r="A182" s="161" t="inlineStr">
        <is>
          <t>C19</t>
        </is>
      </c>
      <c r="B182" s="155" t="inlineStr">
        <is>
          <t>HGC-Lib-26078837</t>
        </is>
      </c>
      <c r="C182" s="155" t="n">
        <v>55.1</v>
      </c>
      <c r="D182" s="156" t="n">
        <v>8</v>
      </c>
      <c r="E182" s="157" t="n">
        <v>300</v>
      </c>
      <c r="F182" s="157">
        <f>ROUND(E182/C182*G183,3)</f>
        <v/>
      </c>
      <c r="G182" s="155" t="inlineStr">
        <is>
          <t>WGS</t>
        </is>
      </c>
      <c r="H182" s="155" t="inlineStr">
        <is>
          <t>南京鼓楼医院</t>
        </is>
      </c>
      <c r="I182" s="157" t="n"/>
      <c r="J182" s="155" t="n"/>
      <c r="K182" s="155" t="n"/>
      <c r="L182" s="77" t="inlineStr">
        <is>
          <t>加测_260629_R21016100250033_ML150009054</t>
        </is>
      </c>
      <c r="M182" s="77" t="n">
        <v>512</v>
      </c>
      <c r="N182" s="77" t="n">
        <v>55.1</v>
      </c>
      <c r="O182" s="77" t="inlineStr">
        <is>
          <t>华大双barcode文库</t>
        </is>
      </c>
      <c r="P182" s="77" t="inlineStr">
        <is>
          <t>已磷酸化</t>
        </is>
      </c>
      <c r="Q182" s="77" t="inlineStr">
        <is>
          <t>未环化</t>
        </is>
      </c>
    </row>
    <row r="183" ht="30" customHeight="1" s="80">
      <c r="A183" s="78" t="n"/>
      <c r="B183" s="78" t="n"/>
      <c r="C183" s="78" t="n"/>
      <c r="D183" s="86">
        <f>ROUND(SUM(D182:D182),2)</f>
        <v/>
      </c>
      <c r="E183" s="87" t="n">
        <v>300</v>
      </c>
      <c r="F183" s="87">
        <f>IF(G183&gt;1,ROUND(SUM(F182:F182)/G183*2,3),ROUND(SUM(F182:F182),3))</f>
        <v/>
      </c>
      <c r="G183" s="77" t="n">
        <v>1</v>
      </c>
      <c r="H183" s="78" t="n"/>
      <c r="I183" s="158">
        <f>ROUND(40-F183,3)</f>
        <v/>
      </c>
      <c r="J183" s="78" t="n"/>
      <c r="K183" s="78" t="n"/>
      <c r="L183" s="78" t="n"/>
      <c r="M183" s="77">
        <f>AVERAGE(M182:M182)</f>
        <v/>
      </c>
      <c r="N183" s="78" t="n"/>
      <c r="O183" s="78" t="n"/>
      <c r="P183" s="78" t="n"/>
      <c r="Q183" s="78" t="n"/>
    </row>
    <row r="184" ht="30" customHeight="1" s="80">
      <c r="A184" s="161" t="inlineStr">
        <is>
          <t>C20</t>
        </is>
      </c>
      <c r="B184" s="155" t="inlineStr">
        <is>
          <t>HGC-Lib-26080756</t>
        </is>
      </c>
      <c r="C184" s="155" t="n">
        <v>72.59</v>
      </c>
      <c r="D184" s="156" t="n">
        <v>10</v>
      </c>
      <c r="E184" s="157" t="n">
        <v>75</v>
      </c>
      <c r="F184" s="157">
        <f>ROUND(E184/C184*G188,3)</f>
        <v/>
      </c>
      <c r="G184" s="155" t="inlineStr">
        <is>
          <t>华大C4-cDNA</t>
        </is>
      </c>
      <c r="H184" s="155" t="inlineStr">
        <is>
          <t>广州世益科技有限公司</t>
        </is>
      </c>
      <c r="I184" s="157" t="n"/>
      <c r="J184" s="155" t="n"/>
      <c r="K184" s="155" t="n"/>
      <c r="L184" s="77" t="n"/>
      <c r="M184" s="77" t="n">
        <v>415</v>
      </c>
      <c r="N184" s="77" t="n">
        <v>72.59</v>
      </c>
      <c r="O184" s="77" t="inlineStr">
        <is>
          <t>华大单barcode文库</t>
        </is>
      </c>
      <c r="P184" s="77" t="inlineStr">
        <is>
          <t>已磷酸化</t>
        </is>
      </c>
      <c r="Q184" s="77" t="inlineStr">
        <is>
          <t>未环化</t>
        </is>
      </c>
    </row>
    <row r="185" ht="30" customHeight="1" s="80">
      <c r="A185" s="159" t="n"/>
      <c r="B185" s="155" t="inlineStr">
        <is>
          <t>HGC-Lib-26080758</t>
        </is>
      </c>
      <c r="C185" s="155" t="n">
        <v>46.21</v>
      </c>
      <c r="D185" s="156" t="n">
        <v>10</v>
      </c>
      <c r="E185" s="157" t="n">
        <v>75</v>
      </c>
      <c r="F185" s="157">
        <f>ROUND(E185/C185*G188,3)</f>
        <v/>
      </c>
      <c r="G185" s="155" t="inlineStr">
        <is>
          <t>华大C4-cDNA</t>
        </is>
      </c>
      <c r="H185" s="155" t="inlineStr">
        <is>
          <t>广州世益科技有限公司</t>
        </is>
      </c>
      <c r="I185" s="157" t="n"/>
      <c r="J185" s="155" t="n"/>
      <c r="K185" s="155" t="n"/>
      <c r="L185" s="77" t="n"/>
      <c r="M185" s="77" t="n">
        <v>456</v>
      </c>
      <c r="N185" s="77" t="n">
        <v>46.21</v>
      </c>
      <c r="O185" s="77" t="inlineStr">
        <is>
          <t>华大单barcode文库</t>
        </is>
      </c>
      <c r="P185" s="77" t="inlineStr">
        <is>
          <t>已磷酸化</t>
        </is>
      </c>
      <c r="Q185" s="77" t="inlineStr">
        <is>
          <t>未环化</t>
        </is>
      </c>
    </row>
    <row r="186" ht="30" customHeight="1" s="80">
      <c r="A186" s="159" t="n"/>
      <c r="B186" s="155" t="inlineStr">
        <is>
          <t>HGC-Lib-26080785</t>
        </is>
      </c>
      <c r="C186" s="155" t="n">
        <v>75.8</v>
      </c>
      <c r="D186" s="156" t="n">
        <v>10</v>
      </c>
      <c r="E186" s="157" t="n">
        <v>75</v>
      </c>
      <c r="F186" s="157">
        <f>ROUND(E186/C186*G188,3)</f>
        <v/>
      </c>
      <c r="G186" s="155" t="inlineStr">
        <is>
          <t>华大C4-cDNA</t>
        </is>
      </c>
      <c r="H186" s="155" t="inlineStr">
        <is>
          <t>广州世益科技有限公司</t>
        </is>
      </c>
      <c r="I186" s="157" t="n"/>
      <c r="J186" s="155" t="n"/>
      <c r="K186" s="155" t="n"/>
      <c r="L186" s="77" t="n"/>
      <c r="M186" s="77" t="n">
        <v>399</v>
      </c>
      <c r="N186" s="77" t="n">
        <v>75.8</v>
      </c>
      <c r="O186" s="77" t="inlineStr">
        <is>
          <t>华大单barcode文库</t>
        </is>
      </c>
      <c r="P186" s="77" t="inlineStr">
        <is>
          <t>已磷酸化</t>
        </is>
      </c>
      <c r="Q186" s="77" t="inlineStr">
        <is>
          <t>未环化</t>
        </is>
      </c>
    </row>
    <row r="187" ht="30" customHeight="1" s="80">
      <c r="A187" s="160" t="n"/>
      <c r="B187" s="155" t="inlineStr">
        <is>
          <t>HGC-Lib-26080786</t>
        </is>
      </c>
      <c r="C187" s="155" t="n">
        <v>48</v>
      </c>
      <c r="D187" s="156" t="n">
        <v>10</v>
      </c>
      <c r="E187" s="157" t="n">
        <v>75</v>
      </c>
      <c r="F187" s="157">
        <f>ROUND(E187/C187*G188,3)</f>
        <v/>
      </c>
      <c r="G187" s="155" t="inlineStr">
        <is>
          <t>华大C4-cDNA</t>
        </is>
      </c>
      <c r="H187" s="155" t="inlineStr">
        <is>
          <t>广州世益科技有限公司</t>
        </is>
      </c>
      <c r="I187" s="157" t="n"/>
      <c r="J187" s="155" t="n"/>
      <c r="K187" s="155" t="n"/>
      <c r="L187" s="77" t="n"/>
      <c r="M187" s="77" t="n">
        <v>475</v>
      </c>
      <c r="N187" s="77" t="n">
        <v>48</v>
      </c>
      <c r="O187" s="77" t="inlineStr">
        <is>
          <t>华大单barcode文库</t>
        </is>
      </c>
      <c r="P187" s="77" t="inlineStr">
        <is>
          <t>已磷酸化</t>
        </is>
      </c>
      <c r="Q187" s="77" t="inlineStr">
        <is>
          <t>未环化</t>
        </is>
      </c>
    </row>
    <row r="188" ht="30" customHeight="1" s="80">
      <c r="A188" s="78" t="n"/>
      <c r="B188" s="78" t="n"/>
      <c r="C188" s="78" t="n"/>
      <c r="D188" s="86">
        <f>ROUND(SUM(D184:D187),2)</f>
        <v/>
      </c>
      <c r="E188" s="87" t="n">
        <v>300</v>
      </c>
      <c r="F188" s="87">
        <f>IF(G188&gt;1,ROUND(SUM(F184:F187)/G188*2,3),ROUND(SUM(F184:F187),3))</f>
        <v/>
      </c>
      <c r="G188" s="77" t="n">
        <v>1</v>
      </c>
      <c r="H188" s="78" t="n"/>
      <c r="I188" s="158">
        <f>ROUND(40-F188,3)</f>
        <v/>
      </c>
      <c r="J188" s="78" t="n"/>
      <c r="K188" s="78" t="n"/>
      <c r="L188" s="78" t="n"/>
      <c r="M188" s="77">
        <f>AVERAGE(M184:M187)</f>
        <v/>
      </c>
      <c r="N188" s="78" t="n"/>
      <c r="O188" s="78" t="n"/>
      <c r="P188" s="78" t="n"/>
      <c r="Q188" s="78" t="n"/>
    </row>
    <row r="189" ht="30" customHeight="1" s="80">
      <c r="A189" s="161" t="inlineStr">
        <is>
          <t>C21</t>
        </is>
      </c>
      <c r="B189" s="155" t="inlineStr">
        <is>
          <t>HGC-Lib-26084671</t>
        </is>
      </c>
      <c r="C189" s="155" t="n">
        <v>51.2</v>
      </c>
      <c r="D189" s="156" t="n">
        <v>10</v>
      </c>
      <c r="E189" s="157" t="n">
        <v>33.333</v>
      </c>
      <c r="F189" s="157">
        <f>ROUND(E189/C189*G196,3)</f>
        <v/>
      </c>
      <c r="G189" s="155" t="inlineStr">
        <is>
          <t>基因组文库</t>
        </is>
      </c>
      <c r="H189" s="155" t="inlineStr">
        <is>
          <t>武汉百易汇能生物科技有限公司</t>
        </is>
      </c>
      <c r="I189" s="157" t="n"/>
      <c r="J189" s="155" t="n"/>
      <c r="K189" s="155" t="inlineStr">
        <is>
          <t>0711百易汇能-A5</t>
        </is>
      </c>
      <c r="L189" s="77" t="n"/>
      <c r="M189" s="77" t="n">
        <v>359</v>
      </c>
      <c r="N189" s="77" t="n">
        <v>51.2</v>
      </c>
      <c r="O189" s="77" t="inlineStr">
        <is>
          <t>华大双barcode文库</t>
        </is>
      </c>
      <c r="P189" s="77" t="inlineStr">
        <is>
          <t>已磷酸化</t>
        </is>
      </c>
      <c r="Q189" s="77" t="inlineStr">
        <is>
          <t>未环化</t>
        </is>
      </c>
    </row>
    <row r="190" ht="30" customHeight="1" s="80">
      <c r="A190" s="159" t="n"/>
      <c r="B190" s="155" t="inlineStr">
        <is>
          <t>HGC-Lib-26084664</t>
        </is>
      </c>
      <c r="C190" s="155" t="n">
        <v>84.90000000000001</v>
      </c>
      <c r="D190" s="156" t="n">
        <v>30</v>
      </c>
      <c r="E190" s="157" t="n">
        <v>100</v>
      </c>
      <c r="F190" s="157">
        <f>ROUND(E190/C190*G196,3)</f>
        <v/>
      </c>
      <c r="G190" s="155" t="inlineStr">
        <is>
          <t>基因组文库</t>
        </is>
      </c>
      <c r="H190" s="155" t="inlineStr">
        <is>
          <t>武汉百易汇能生物科技有限公司</t>
        </is>
      </c>
      <c r="I190" s="157" t="n"/>
      <c r="J190" s="155" t="n"/>
      <c r="K190" s="155" t="inlineStr">
        <is>
          <t>0711百易汇能-B4</t>
        </is>
      </c>
      <c r="L190" s="77" t="n"/>
      <c r="M190" s="77" t="n">
        <v>441</v>
      </c>
      <c r="N190" s="77" t="n">
        <v>84.90000000000001</v>
      </c>
      <c r="O190" s="77" t="inlineStr">
        <is>
          <t>华大双barcode文库</t>
        </is>
      </c>
      <c r="P190" s="77" t="inlineStr">
        <is>
          <t>已磷酸化</t>
        </is>
      </c>
      <c r="Q190" s="77" t="inlineStr">
        <is>
          <t>未环化</t>
        </is>
      </c>
    </row>
    <row r="191" ht="30" customHeight="1" s="80">
      <c r="A191" s="159" t="n"/>
      <c r="B191" s="155" t="inlineStr">
        <is>
          <t>HGC-Lib-26084672</t>
        </is>
      </c>
      <c r="C191" s="155" t="n">
        <v>52</v>
      </c>
      <c r="D191" s="156" t="n">
        <v>10</v>
      </c>
      <c r="E191" s="157" t="n">
        <v>33.333</v>
      </c>
      <c r="F191" s="157">
        <f>ROUND(E191/C191*G196,3)</f>
        <v/>
      </c>
      <c r="G191" s="155" t="inlineStr">
        <is>
          <t>基因组文库</t>
        </is>
      </c>
      <c r="H191" s="155" t="inlineStr">
        <is>
          <t>武汉百易汇能生物科技有限公司</t>
        </is>
      </c>
      <c r="I191" s="157" t="n"/>
      <c r="J191" s="155" t="n"/>
      <c r="K191" s="155" t="inlineStr">
        <is>
          <t>0711百易汇能-B5</t>
        </is>
      </c>
      <c r="L191" s="77" t="n"/>
      <c r="M191" s="77" t="n">
        <v>355</v>
      </c>
      <c r="N191" s="77" t="n">
        <v>52</v>
      </c>
      <c r="O191" s="77" t="inlineStr">
        <is>
          <t>华大双barcode文库</t>
        </is>
      </c>
      <c r="P191" s="77" t="inlineStr">
        <is>
          <t>已磷酸化</t>
        </is>
      </c>
      <c r="Q191" s="77" t="inlineStr">
        <is>
          <t>未环化</t>
        </is>
      </c>
    </row>
    <row r="192" ht="30" customHeight="1" s="80">
      <c r="A192" s="159" t="n"/>
      <c r="B192" s="155" t="inlineStr">
        <is>
          <t>HGC-Lib-26084673</t>
        </is>
      </c>
      <c r="C192" s="155" t="n">
        <v>42.2</v>
      </c>
      <c r="D192" s="156" t="n">
        <v>10</v>
      </c>
      <c r="E192" s="157" t="n">
        <v>33.333</v>
      </c>
      <c r="F192" s="157">
        <f>ROUND(E192/C192*G196,3)</f>
        <v/>
      </c>
      <c r="G192" s="155" t="inlineStr">
        <is>
          <t>基因组文库</t>
        </is>
      </c>
      <c r="H192" s="155" t="inlineStr">
        <is>
          <t>武汉百易汇能生物科技有限公司</t>
        </is>
      </c>
      <c r="I192" s="157" t="n"/>
      <c r="J192" s="155" t="n"/>
      <c r="K192" s="155" t="inlineStr">
        <is>
          <t>0711百易汇能-C5</t>
        </is>
      </c>
      <c r="L192" s="77" t="n"/>
      <c r="M192" s="77" t="n">
        <v>370</v>
      </c>
      <c r="N192" s="77" t="n">
        <v>42.2</v>
      </c>
      <c r="O192" s="77" t="inlineStr">
        <is>
          <t>华大双barcode文库</t>
        </is>
      </c>
      <c r="P192" s="77" t="inlineStr">
        <is>
          <t>已磷酸化</t>
        </is>
      </c>
      <c r="Q192" s="77" t="inlineStr">
        <is>
          <t>未环化</t>
        </is>
      </c>
    </row>
    <row r="193" ht="30" customHeight="1" s="80">
      <c r="A193" s="159" t="n"/>
      <c r="B193" s="155" t="inlineStr">
        <is>
          <t>HGC-Lib-26084674</t>
        </is>
      </c>
      <c r="C193" s="155" t="n">
        <v>99.34999999999999</v>
      </c>
      <c r="D193" s="156" t="n">
        <v>10</v>
      </c>
      <c r="E193" s="157" t="n">
        <v>33.333</v>
      </c>
      <c r="F193" s="157">
        <f>ROUND(E193/C193*G196,3)</f>
        <v/>
      </c>
      <c r="G193" s="155" t="inlineStr">
        <is>
          <t>基因组文库</t>
        </is>
      </c>
      <c r="H193" s="155" t="inlineStr">
        <is>
          <t>武汉百易汇能生物科技有限公司</t>
        </is>
      </c>
      <c r="I193" s="157" t="n"/>
      <c r="J193" s="155" t="n"/>
      <c r="K193" s="155" t="inlineStr">
        <is>
          <t>0711百易汇能-D5</t>
        </is>
      </c>
      <c r="L193" s="77" t="n"/>
      <c r="M193" s="77" t="n">
        <v>380</v>
      </c>
      <c r="N193" s="77" t="n">
        <v>99.34999999999999</v>
      </c>
      <c r="O193" s="77" t="inlineStr">
        <is>
          <t>华大双barcode文库</t>
        </is>
      </c>
      <c r="P193" s="77" t="inlineStr">
        <is>
          <t>已磷酸化</t>
        </is>
      </c>
      <c r="Q193" s="77" t="inlineStr">
        <is>
          <t>未环化</t>
        </is>
      </c>
    </row>
    <row r="194" ht="30" customHeight="1" s="80">
      <c r="A194" s="159" t="n"/>
      <c r="B194" s="155" t="inlineStr">
        <is>
          <t>HGC-Lib-26084675</t>
        </is>
      </c>
      <c r="C194" s="155" t="n">
        <v>89.73</v>
      </c>
      <c r="D194" s="156" t="n">
        <v>10</v>
      </c>
      <c r="E194" s="157" t="n">
        <v>33.333</v>
      </c>
      <c r="F194" s="157">
        <f>ROUND(E194/C194*G196,3)</f>
        <v/>
      </c>
      <c r="G194" s="155" t="inlineStr">
        <is>
          <t>基因组文库</t>
        </is>
      </c>
      <c r="H194" s="155" t="inlineStr">
        <is>
          <t>武汉百易汇能生物科技有限公司</t>
        </is>
      </c>
      <c r="I194" s="157" t="n"/>
      <c r="J194" s="155" t="n"/>
      <c r="K194" s="155" t="inlineStr">
        <is>
          <t>0711百易汇能-E5</t>
        </is>
      </c>
      <c r="L194" s="77" t="n"/>
      <c r="M194" s="77" t="n">
        <v>379</v>
      </c>
      <c r="N194" s="77" t="n">
        <v>89.73</v>
      </c>
      <c r="O194" s="77" t="inlineStr">
        <is>
          <t>华大双barcode文库</t>
        </is>
      </c>
      <c r="P194" s="77" t="inlineStr">
        <is>
          <t>已磷酸化</t>
        </is>
      </c>
      <c r="Q194" s="77" t="inlineStr">
        <is>
          <t>未环化</t>
        </is>
      </c>
    </row>
    <row r="195" ht="30" customHeight="1" s="80">
      <c r="A195" s="160" t="n"/>
      <c r="B195" s="155" t="inlineStr">
        <is>
          <t>HGC-Lib-26084670</t>
        </is>
      </c>
      <c r="C195" s="155" t="n">
        <v>56.8</v>
      </c>
      <c r="D195" s="156" t="n">
        <v>10</v>
      </c>
      <c r="E195" s="157" t="n">
        <v>33.333</v>
      </c>
      <c r="F195" s="157">
        <f>ROUND(E195/C195*G196,3)</f>
        <v/>
      </c>
      <c r="G195" s="155" t="inlineStr">
        <is>
          <t>基因组文库</t>
        </is>
      </c>
      <c r="H195" s="155" t="inlineStr">
        <is>
          <t>武汉百易汇能生物科技有限公司</t>
        </is>
      </c>
      <c r="I195" s="157" t="n"/>
      <c r="J195" s="155" t="n"/>
      <c r="K195" s="155" t="inlineStr">
        <is>
          <t>0711百易汇能-H4</t>
        </is>
      </c>
      <c r="L195" s="77" t="n"/>
      <c r="M195" s="77" t="n">
        <v>357</v>
      </c>
      <c r="N195" s="77" t="n">
        <v>56.8</v>
      </c>
      <c r="O195" s="77" t="inlineStr">
        <is>
          <t>华大双barcode文库</t>
        </is>
      </c>
      <c r="P195" s="77" t="inlineStr">
        <is>
          <t>已磷酸化</t>
        </is>
      </c>
      <c r="Q195" s="77" t="inlineStr">
        <is>
          <t>未环化</t>
        </is>
      </c>
    </row>
    <row r="196" ht="30" customHeight="1" s="80">
      <c r="A196" s="78" t="n"/>
      <c r="B196" s="78" t="n"/>
      <c r="C196" s="78" t="n"/>
      <c r="D196" s="86">
        <f>ROUND(SUM(D189:D195),2)</f>
        <v/>
      </c>
      <c r="E196" s="87" t="n">
        <v>299.998</v>
      </c>
      <c r="F196" s="87">
        <f>IF(G196&gt;1,ROUND(SUM(F189:F195)/G196*2,3),ROUND(SUM(F189:F195),3))</f>
        <v/>
      </c>
      <c r="G196" s="77" t="n">
        <v>1</v>
      </c>
      <c r="H196" s="78" t="n"/>
      <c r="I196" s="158">
        <f>ROUND(40-F196,3)</f>
        <v/>
      </c>
      <c r="J196" s="78" t="n"/>
      <c r="K196" s="78" t="n"/>
      <c r="L196" s="78" t="n"/>
      <c r="M196" s="77">
        <f>AVERAGE(M189:M195)</f>
        <v/>
      </c>
      <c r="N196" s="78" t="n"/>
      <c r="O196" s="78" t="n"/>
      <c r="P196" s="78" t="n"/>
      <c r="Q196" s="78" t="n"/>
    </row>
    <row r="197" ht="30" customHeight="1" s="80">
      <c r="A197" s="161" t="inlineStr">
        <is>
          <t>C22</t>
        </is>
      </c>
      <c r="B197" s="155" t="inlineStr">
        <is>
          <t>HGC-Lib-26084665</t>
        </is>
      </c>
      <c r="C197" s="155" t="n">
        <v>49.8</v>
      </c>
      <c r="D197" s="156" t="n">
        <v>30</v>
      </c>
      <c r="E197" s="157" t="n">
        <v>60</v>
      </c>
      <c r="F197" s="157">
        <f>ROUND(E197/C197*G202,3)</f>
        <v/>
      </c>
      <c r="G197" s="155" t="inlineStr">
        <is>
          <t>基因组文库</t>
        </is>
      </c>
      <c r="H197" s="155" t="inlineStr">
        <is>
          <t>武汉百易汇能生物科技有限公司</t>
        </is>
      </c>
      <c r="I197" s="157" t="n"/>
      <c r="J197" s="155" t="n"/>
      <c r="K197" s="155" t="inlineStr">
        <is>
          <t>0711百易汇能-C4</t>
        </is>
      </c>
      <c r="L197" s="77" t="n"/>
      <c r="M197" s="77" t="n">
        <v>395</v>
      </c>
      <c r="N197" s="77" t="n">
        <v>49.8</v>
      </c>
      <c r="O197" s="77" t="inlineStr">
        <is>
          <t>华大双barcode文库</t>
        </is>
      </c>
      <c r="P197" s="77" t="inlineStr">
        <is>
          <t>已磷酸化</t>
        </is>
      </c>
      <c r="Q197" s="77" t="inlineStr">
        <is>
          <t>未环化</t>
        </is>
      </c>
    </row>
    <row r="198" ht="30" customHeight="1" s="80">
      <c r="A198" s="159" t="n"/>
      <c r="B198" s="155" t="inlineStr">
        <is>
          <t>HGC-Lib-26084666</t>
        </is>
      </c>
      <c r="C198" s="155" t="n">
        <v>58.18</v>
      </c>
      <c r="D198" s="156" t="n">
        <v>30</v>
      </c>
      <c r="E198" s="157" t="n">
        <v>60</v>
      </c>
      <c r="F198" s="157">
        <f>ROUND(E198/C198*G202,3)</f>
        <v/>
      </c>
      <c r="G198" s="155" t="inlineStr">
        <is>
          <t>基因组文库</t>
        </is>
      </c>
      <c r="H198" s="155" t="inlineStr">
        <is>
          <t>武汉百易汇能生物科技有限公司</t>
        </is>
      </c>
      <c r="I198" s="157" t="n"/>
      <c r="J198" s="155" t="n"/>
      <c r="K198" s="155" t="inlineStr">
        <is>
          <t>0711百易汇能-D4</t>
        </is>
      </c>
      <c r="L198" s="77" t="n"/>
      <c r="M198" s="77" t="n">
        <v>449</v>
      </c>
      <c r="N198" s="77" t="n">
        <v>58.18</v>
      </c>
      <c r="O198" s="77" t="inlineStr">
        <is>
          <t>华大双barcode文库</t>
        </is>
      </c>
      <c r="P198" s="77" t="inlineStr">
        <is>
          <t>已磷酸化</t>
        </is>
      </c>
      <c r="Q198" s="77" t="inlineStr">
        <is>
          <t>未环化</t>
        </is>
      </c>
    </row>
    <row r="199" ht="30" customHeight="1" s="80">
      <c r="A199" s="159" t="n"/>
      <c r="B199" s="155" t="inlineStr">
        <is>
          <t>HGC-Lib-26084667</t>
        </is>
      </c>
      <c r="C199" s="155" t="n">
        <v>53.8</v>
      </c>
      <c r="D199" s="156" t="n">
        <v>30</v>
      </c>
      <c r="E199" s="157" t="n">
        <v>60</v>
      </c>
      <c r="F199" s="157">
        <f>ROUND(E199/C199*G202,3)</f>
        <v/>
      </c>
      <c r="G199" s="155" t="inlineStr">
        <is>
          <t>基因组文库</t>
        </is>
      </c>
      <c r="H199" s="155" t="inlineStr">
        <is>
          <t>武汉百易汇能生物科技有限公司</t>
        </is>
      </c>
      <c r="I199" s="157" t="n"/>
      <c r="J199" s="155" t="n"/>
      <c r="K199" s="155" t="inlineStr">
        <is>
          <t>0711百易汇能-E4</t>
        </is>
      </c>
      <c r="L199" s="77" t="n"/>
      <c r="M199" s="77" t="n">
        <v>400</v>
      </c>
      <c r="N199" s="77" t="n">
        <v>53.8</v>
      </c>
      <c r="O199" s="77" t="inlineStr">
        <is>
          <t>华大双barcode文库</t>
        </is>
      </c>
      <c r="P199" s="77" t="inlineStr">
        <is>
          <t>已磷酸化</t>
        </is>
      </c>
      <c r="Q199" s="77" t="inlineStr">
        <is>
          <t>未环化</t>
        </is>
      </c>
    </row>
    <row r="200" ht="30" customHeight="1" s="80">
      <c r="A200" s="159" t="n"/>
      <c r="B200" s="155" t="inlineStr">
        <is>
          <t>HGC-Lib-26084668</t>
        </is>
      </c>
      <c r="C200" s="155" t="n">
        <v>42.2</v>
      </c>
      <c r="D200" s="156" t="n">
        <v>30</v>
      </c>
      <c r="E200" s="157" t="n">
        <v>60</v>
      </c>
      <c r="F200" s="157">
        <f>ROUND(E200/C200*G202,3)</f>
        <v/>
      </c>
      <c r="G200" s="155" t="inlineStr">
        <is>
          <t>基因组文库</t>
        </is>
      </c>
      <c r="H200" s="155" t="inlineStr">
        <is>
          <t>武汉百易汇能生物科技有限公司</t>
        </is>
      </c>
      <c r="I200" s="157" t="n"/>
      <c r="J200" s="155" t="n"/>
      <c r="K200" s="155" t="inlineStr">
        <is>
          <t>0711百易汇能-F4</t>
        </is>
      </c>
      <c r="L200" s="77" t="n"/>
      <c r="M200" s="77" t="n">
        <v>438</v>
      </c>
      <c r="N200" s="77" t="n">
        <v>42.2</v>
      </c>
      <c r="O200" s="77" t="inlineStr">
        <is>
          <t>华大双barcode文库</t>
        </is>
      </c>
      <c r="P200" s="77" t="inlineStr">
        <is>
          <t>已磷酸化</t>
        </is>
      </c>
      <c r="Q200" s="77" t="inlineStr">
        <is>
          <t>未环化</t>
        </is>
      </c>
    </row>
    <row r="201" ht="30" customHeight="1" s="80">
      <c r="A201" s="160" t="n"/>
      <c r="B201" s="155" t="inlineStr">
        <is>
          <t>HGC-Lib-26084669</t>
        </is>
      </c>
      <c r="C201" s="155" t="n">
        <v>50.2</v>
      </c>
      <c r="D201" s="156" t="n">
        <v>30</v>
      </c>
      <c r="E201" s="157" t="n">
        <v>60</v>
      </c>
      <c r="F201" s="157">
        <f>ROUND(E201/C201*G202,3)</f>
        <v/>
      </c>
      <c r="G201" s="155" t="inlineStr">
        <is>
          <t>基因组文库</t>
        </is>
      </c>
      <c r="H201" s="155" t="inlineStr">
        <is>
          <t>武汉百易汇能生物科技有限公司</t>
        </is>
      </c>
      <c r="I201" s="157" t="n"/>
      <c r="J201" s="155" t="n"/>
      <c r="K201" s="155" t="inlineStr">
        <is>
          <t>0711百易汇能-G4</t>
        </is>
      </c>
      <c r="L201" s="77" t="n"/>
      <c r="M201" s="77" t="n">
        <v>409</v>
      </c>
      <c r="N201" s="77" t="n">
        <v>50.2</v>
      </c>
      <c r="O201" s="77" t="inlineStr">
        <is>
          <t>华大双barcode文库</t>
        </is>
      </c>
      <c r="P201" s="77" t="inlineStr">
        <is>
          <t>已磷酸化</t>
        </is>
      </c>
      <c r="Q201" s="77" t="inlineStr">
        <is>
          <t>未环化</t>
        </is>
      </c>
    </row>
    <row r="202" ht="30" customHeight="1" s="80">
      <c r="A202" s="78" t="n"/>
      <c r="B202" s="78" t="n"/>
      <c r="C202" s="78" t="n"/>
      <c r="D202" s="86">
        <f>ROUND(SUM(D197:D201),2)</f>
        <v/>
      </c>
      <c r="E202" s="87" t="n">
        <v>300</v>
      </c>
      <c r="F202" s="87">
        <f>IF(G202&gt;1,ROUND(SUM(F197:F201)/G202*2,3),ROUND(SUM(F197:F201),3))</f>
        <v/>
      </c>
      <c r="G202" s="77" t="n">
        <v>1</v>
      </c>
      <c r="H202" s="78" t="n"/>
      <c r="I202" s="158">
        <f>ROUND(40-F202,3)</f>
        <v/>
      </c>
      <c r="J202" s="78" t="n"/>
      <c r="K202" s="78" t="n"/>
      <c r="L202" s="78" t="n"/>
      <c r="M202" s="77">
        <f>AVERAGE(M197:M201)</f>
        <v/>
      </c>
      <c r="N202" s="78" t="n"/>
      <c r="O202" s="78" t="n"/>
      <c r="P202" s="78" t="n"/>
      <c r="Q202" s="78" t="n"/>
    </row>
    <row r="203" ht="30" customHeight="1" s="80">
      <c r="A203" s="161" t="inlineStr">
        <is>
          <t>C23</t>
        </is>
      </c>
      <c r="B203" s="155" t="inlineStr">
        <is>
          <t>HGC-Lib-26084655</t>
        </is>
      </c>
      <c r="C203" s="155" t="n">
        <v>61.01</v>
      </c>
      <c r="D203" s="156" t="n">
        <v>6</v>
      </c>
      <c r="E203" s="157" t="n">
        <v>33.333</v>
      </c>
      <c r="F203" s="157">
        <f>ROUND(E203/C203*G212,3)</f>
        <v/>
      </c>
      <c r="G203" s="155" t="inlineStr">
        <is>
          <t>转录组文库</t>
        </is>
      </c>
      <c r="H203" s="155" t="inlineStr">
        <is>
          <t>武汉百易汇能生物科技有限公司</t>
        </is>
      </c>
      <c r="I203" s="157" t="n"/>
      <c r="J203" s="155" t="n"/>
      <c r="K203" s="155" t="inlineStr">
        <is>
          <t>0711百易汇能-A3</t>
        </is>
      </c>
      <c r="L203" s="77" t="n"/>
      <c r="M203" s="77" t="n">
        <v>378</v>
      </c>
      <c r="N203" s="77" t="n">
        <v>61.01</v>
      </c>
      <c r="O203" s="77" t="inlineStr">
        <is>
          <t>华大双barcode文库</t>
        </is>
      </c>
      <c r="P203" s="77" t="inlineStr">
        <is>
          <t>已磷酸化</t>
        </is>
      </c>
      <c r="Q203" s="77" t="inlineStr">
        <is>
          <t>未环化</t>
        </is>
      </c>
    </row>
    <row r="204" ht="30" customHeight="1" s="80">
      <c r="A204" s="159" t="n"/>
      <c r="B204" s="155" t="inlineStr">
        <is>
          <t>HGC-Lib-26084663</t>
        </is>
      </c>
      <c r="C204" s="155" t="n">
        <v>87.95999999999999</v>
      </c>
      <c r="D204" s="156" t="n">
        <v>6</v>
      </c>
      <c r="E204" s="157" t="n">
        <v>33.333</v>
      </c>
      <c r="F204" s="157">
        <f>ROUND(E204/C204*G212,3)</f>
        <v/>
      </c>
      <c r="G204" s="155" t="inlineStr">
        <is>
          <t>转录组文库</t>
        </is>
      </c>
      <c r="H204" s="155" t="inlineStr">
        <is>
          <t>武汉百易汇能生物科技有限公司</t>
        </is>
      </c>
      <c r="I204" s="157" t="n"/>
      <c r="J204" s="155" t="n"/>
      <c r="K204" s="155" t="inlineStr">
        <is>
          <t>0711百易汇能-A4</t>
        </is>
      </c>
      <c r="L204" s="77" t="n"/>
      <c r="M204" s="77" t="n">
        <v>354</v>
      </c>
      <c r="N204" s="77" t="n">
        <v>87.95999999999999</v>
      </c>
      <c r="O204" s="77" t="inlineStr">
        <is>
          <t>华大双barcode文库</t>
        </is>
      </c>
      <c r="P204" s="77" t="inlineStr">
        <is>
          <t>已磷酸化</t>
        </is>
      </c>
      <c r="Q204" s="77" t="inlineStr">
        <is>
          <t>未环化</t>
        </is>
      </c>
    </row>
    <row r="205" ht="30" customHeight="1" s="80">
      <c r="A205" s="159" t="n"/>
      <c r="B205" s="155" t="inlineStr">
        <is>
          <t>HGC-Lib-26084656</t>
        </is>
      </c>
      <c r="C205" s="155" t="n">
        <v>48.5</v>
      </c>
      <c r="D205" s="156" t="n">
        <v>6</v>
      </c>
      <c r="E205" s="157" t="n">
        <v>33.333</v>
      </c>
      <c r="F205" s="157">
        <f>ROUND(E205/C205*G212,3)</f>
        <v/>
      </c>
      <c r="G205" s="155" t="inlineStr">
        <is>
          <t>转录组文库</t>
        </is>
      </c>
      <c r="H205" s="155" t="inlineStr">
        <is>
          <t>武汉百易汇能生物科技有限公司</t>
        </is>
      </c>
      <c r="I205" s="157" t="n"/>
      <c r="J205" s="155" t="n"/>
      <c r="K205" s="155" t="inlineStr">
        <is>
          <t>0711百易汇能-B3</t>
        </is>
      </c>
      <c r="L205" s="77" t="n"/>
      <c r="M205" s="77" t="n">
        <v>381</v>
      </c>
      <c r="N205" s="77" t="n">
        <v>48.5</v>
      </c>
      <c r="O205" s="77" t="inlineStr">
        <is>
          <t>华大双barcode文库</t>
        </is>
      </c>
      <c r="P205" s="77" t="inlineStr">
        <is>
          <t>已磷酸化</t>
        </is>
      </c>
      <c r="Q205" s="77" t="inlineStr">
        <is>
          <t>未环化</t>
        </is>
      </c>
    </row>
    <row r="206" ht="30" customHeight="1" s="80">
      <c r="A206" s="159" t="n"/>
      <c r="B206" s="155" t="inlineStr">
        <is>
          <t>HGC-Lib-26084657</t>
        </is>
      </c>
      <c r="C206" s="155" t="n">
        <v>70.88</v>
      </c>
      <c r="D206" s="156" t="n">
        <v>6</v>
      </c>
      <c r="E206" s="157" t="n">
        <v>33.333</v>
      </c>
      <c r="F206" s="157">
        <f>ROUND(E206/C206*G212,3)</f>
        <v/>
      </c>
      <c r="G206" s="155" t="inlineStr">
        <is>
          <t>转录组文库</t>
        </is>
      </c>
      <c r="H206" s="155" t="inlineStr">
        <is>
          <t>武汉百易汇能生物科技有限公司</t>
        </is>
      </c>
      <c r="I206" s="157" t="n"/>
      <c r="J206" s="155" t="n"/>
      <c r="K206" s="155" t="inlineStr">
        <is>
          <t>0711百易汇能-C3</t>
        </is>
      </c>
      <c r="L206" s="77" t="n"/>
      <c r="M206" s="77" t="n">
        <v>364</v>
      </c>
      <c r="N206" s="77" t="n">
        <v>70.88</v>
      </c>
      <c r="O206" s="77" t="inlineStr">
        <is>
          <t>华大双barcode文库</t>
        </is>
      </c>
      <c r="P206" s="77" t="inlineStr">
        <is>
          <t>已磷酸化</t>
        </is>
      </c>
      <c r="Q206" s="77" t="inlineStr">
        <is>
          <t>未环化</t>
        </is>
      </c>
    </row>
    <row r="207" ht="30" customHeight="1" s="80">
      <c r="A207" s="159" t="n"/>
      <c r="B207" s="155" t="inlineStr">
        <is>
          <t>HGC-Lib-26084658</t>
        </is>
      </c>
      <c r="C207" s="155" t="n">
        <v>75.7</v>
      </c>
      <c r="D207" s="156" t="n">
        <v>6</v>
      </c>
      <c r="E207" s="157" t="n">
        <v>33.333</v>
      </c>
      <c r="F207" s="157">
        <f>ROUND(E207/C207*G212,3)</f>
        <v/>
      </c>
      <c r="G207" s="155" t="inlineStr">
        <is>
          <t>转录组文库</t>
        </is>
      </c>
      <c r="H207" s="155" t="inlineStr">
        <is>
          <t>武汉百易汇能生物科技有限公司</t>
        </is>
      </c>
      <c r="I207" s="157" t="n"/>
      <c r="J207" s="155" t="n"/>
      <c r="K207" s="155" t="inlineStr">
        <is>
          <t>0711百易汇能-D3</t>
        </is>
      </c>
      <c r="L207" s="77" t="n"/>
      <c r="M207" s="77" t="n">
        <v>366</v>
      </c>
      <c r="N207" s="77" t="n">
        <v>75.7</v>
      </c>
      <c r="O207" s="77" t="inlineStr">
        <is>
          <t>华大双barcode文库</t>
        </is>
      </c>
      <c r="P207" s="77" t="inlineStr">
        <is>
          <t>已磷酸化</t>
        </is>
      </c>
      <c r="Q207" s="77" t="inlineStr">
        <is>
          <t>未环化</t>
        </is>
      </c>
    </row>
    <row r="208" ht="30" customHeight="1" s="80">
      <c r="A208" s="159" t="n"/>
      <c r="B208" s="155" t="inlineStr">
        <is>
          <t>HGC-Lib-26084659</t>
        </is>
      </c>
      <c r="C208" s="155" t="n">
        <v>61.36</v>
      </c>
      <c r="D208" s="156" t="n">
        <v>6</v>
      </c>
      <c r="E208" s="157" t="n">
        <v>33.333</v>
      </c>
      <c r="F208" s="157">
        <f>ROUND(E208/C208*G212,3)</f>
        <v/>
      </c>
      <c r="G208" s="155" t="inlineStr">
        <is>
          <t>转录组文库</t>
        </is>
      </c>
      <c r="H208" s="155" t="inlineStr">
        <is>
          <t>武汉百易汇能生物科技有限公司</t>
        </is>
      </c>
      <c r="I208" s="157" t="n"/>
      <c r="J208" s="155" t="n"/>
      <c r="K208" s="155" t="inlineStr">
        <is>
          <t>0711百易汇能-E3</t>
        </is>
      </c>
      <c r="L208" s="77" t="n"/>
      <c r="M208" s="77" t="n">
        <v>386</v>
      </c>
      <c r="N208" s="77" t="n">
        <v>61.36</v>
      </c>
      <c r="O208" s="77" t="inlineStr">
        <is>
          <t>华大双barcode文库</t>
        </is>
      </c>
      <c r="P208" s="77" t="inlineStr">
        <is>
          <t>已磷酸化</t>
        </is>
      </c>
      <c r="Q208" s="77" t="inlineStr">
        <is>
          <t>未环化</t>
        </is>
      </c>
    </row>
    <row r="209" ht="30" customHeight="1" s="80">
      <c r="A209" s="159" t="n"/>
      <c r="B209" s="155" t="inlineStr">
        <is>
          <t>HGC-Lib-26084660</t>
        </is>
      </c>
      <c r="C209" s="155" t="n">
        <v>68.78</v>
      </c>
      <c r="D209" s="156" t="n">
        <v>6</v>
      </c>
      <c r="E209" s="157" t="n">
        <v>33.333</v>
      </c>
      <c r="F209" s="157">
        <f>ROUND(E209/C209*G212,3)</f>
        <v/>
      </c>
      <c r="G209" s="155" t="inlineStr">
        <is>
          <t>转录组文库</t>
        </is>
      </c>
      <c r="H209" s="155" t="inlineStr">
        <is>
          <t>武汉百易汇能生物科技有限公司</t>
        </is>
      </c>
      <c r="I209" s="157" t="n"/>
      <c r="J209" s="155" t="n"/>
      <c r="K209" s="155" t="inlineStr">
        <is>
          <t>0711百易汇能-F3</t>
        </is>
      </c>
      <c r="L209" s="77" t="n"/>
      <c r="M209" s="77" t="n">
        <v>371</v>
      </c>
      <c r="N209" s="77" t="n">
        <v>68.78</v>
      </c>
      <c r="O209" s="77" t="inlineStr">
        <is>
          <t>华大双barcode文库</t>
        </is>
      </c>
      <c r="P209" s="77" t="inlineStr">
        <is>
          <t>已磷酸化</t>
        </is>
      </c>
      <c r="Q209" s="77" t="inlineStr">
        <is>
          <t>未环化</t>
        </is>
      </c>
    </row>
    <row r="210" ht="30" customHeight="1" s="80">
      <c r="A210" s="159" t="n"/>
      <c r="B210" s="155" t="inlineStr">
        <is>
          <t>HGC-Lib-26084661</t>
        </is>
      </c>
      <c r="C210" s="155" t="n">
        <v>78.61</v>
      </c>
      <c r="D210" s="156" t="n">
        <v>6</v>
      </c>
      <c r="E210" s="157" t="n">
        <v>33.333</v>
      </c>
      <c r="F210" s="157">
        <f>ROUND(E210/C210*G212,3)</f>
        <v/>
      </c>
      <c r="G210" s="155" t="inlineStr">
        <is>
          <t>转录组文库</t>
        </is>
      </c>
      <c r="H210" s="155" t="inlineStr">
        <is>
          <t>武汉百易汇能生物科技有限公司</t>
        </is>
      </c>
      <c r="I210" s="157" t="n"/>
      <c r="J210" s="155" t="n"/>
      <c r="K210" s="155" t="inlineStr">
        <is>
          <t>0711百易汇能-G3</t>
        </is>
      </c>
      <c r="L210" s="77" t="n"/>
      <c r="M210" s="77" t="n">
        <v>363</v>
      </c>
      <c r="N210" s="77" t="n">
        <v>78.61</v>
      </c>
      <c r="O210" s="77" t="inlineStr">
        <is>
          <t>华大双barcode文库</t>
        </is>
      </c>
      <c r="P210" s="77" t="inlineStr">
        <is>
          <t>已磷酸化</t>
        </is>
      </c>
      <c r="Q210" s="77" t="inlineStr">
        <is>
          <t>未环化</t>
        </is>
      </c>
    </row>
    <row r="211" ht="30" customHeight="1" s="80">
      <c r="A211" s="160" t="n"/>
      <c r="B211" s="155" t="inlineStr">
        <is>
          <t>HGC-Lib-26084662</t>
        </is>
      </c>
      <c r="C211" s="155" t="n">
        <v>89.01000000000001</v>
      </c>
      <c r="D211" s="156" t="n">
        <v>6</v>
      </c>
      <c r="E211" s="157" t="n">
        <v>33.333</v>
      </c>
      <c r="F211" s="157">
        <f>ROUND(E211/C211*G212,3)</f>
        <v/>
      </c>
      <c r="G211" s="155" t="inlineStr">
        <is>
          <t>转录组文库</t>
        </is>
      </c>
      <c r="H211" s="155" t="inlineStr">
        <is>
          <t>武汉百易汇能生物科技有限公司</t>
        </is>
      </c>
      <c r="I211" s="157" t="n"/>
      <c r="J211" s="155" t="n"/>
      <c r="K211" s="155" t="inlineStr">
        <is>
          <t>0711百易汇能-H3</t>
        </is>
      </c>
      <c r="L211" s="77" t="n"/>
      <c r="M211" s="77" t="n">
        <v>363</v>
      </c>
      <c r="N211" s="77" t="n">
        <v>89.01000000000001</v>
      </c>
      <c r="O211" s="77" t="inlineStr">
        <is>
          <t>华大双barcode文库</t>
        </is>
      </c>
      <c r="P211" s="77" t="inlineStr">
        <is>
          <t>已磷酸化</t>
        </is>
      </c>
      <c r="Q211" s="77" t="inlineStr">
        <is>
          <t>未环化</t>
        </is>
      </c>
    </row>
    <row r="212" ht="30" customHeight="1" s="80">
      <c r="A212" s="78" t="n"/>
      <c r="B212" s="78" t="n"/>
      <c r="C212" s="78" t="n"/>
      <c r="D212" s="86">
        <f>ROUND(SUM(D203:D211),2)</f>
        <v/>
      </c>
      <c r="E212" s="87" t="n">
        <v>299.997</v>
      </c>
      <c r="F212" s="87">
        <f>IF(G212&gt;1,ROUND(SUM(F203:F211)/G212*2,3),ROUND(SUM(F203:F211),3))</f>
        <v/>
      </c>
      <c r="G212" s="77" t="n">
        <v>1</v>
      </c>
      <c r="H212" s="78" t="n"/>
      <c r="I212" s="158">
        <f>ROUND(40-F212,3)</f>
        <v/>
      </c>
      <c r="J212" s="78" t="n"/>
      <c r="K212" s="78" t="n"/>
      <c r="L212" s="78" t="n"/>
      <c r="M212" s="77">
        <f>AVERAGE(M203:M211)</f>
        <v/>
      </c>
      <c r="N212" s="78" t="n"/>
      <c r="O212" s="78" t="n"/>
      <c r="P212" s="78" t="n"/>
      <c r="Q212" s="78" t="n"/>
    </row>
    <row r="213" ht="30" customHeight="1" s="80">
      <c r="A213" s="161" t="inlineStr">
        <is>
          <t>C24</t>
        </is>
      </c>
      <c r="B213" s="155" t="inlineStr">
        <is>
          <t>HGC-Lib-26083779</t>
        </is>
      </c>
      <c r="C213" s="155" t="n">
        <v>58.8</v>
      </c>
      <c r="D213" s="156" t="n">
        <v>15</v>
      </c>
      <c r="E213" s="157" t="n">
        <v>150</v>
      </c>
      <c r="F213" s="157">
        <f>ROUND(E213/C213*G215,3)</f>
        <v/>
      </c>
      <c r="G213" s="155" t="inlineStr">
        <is>
          <t>华大C4-BCR</t>
        </is>
      </c>
      <c r="H213" s="155" t="inlineStr">
        <is>
          <t>江苏省肿瘤防治研究所（江苏省肿瘤医院）</t>
        </is>
      </c>
      <c r="I213" s="157" t="n"/>
      <c r="J213" s="155" t="n"/>
      <c r="K213" s="155" t="n"/>
      <c r="L213" s="77" t="n"/>
      <c r="M213" s="77" t="n">
        <v>434</v>
      </c>
      <c r="N213" s="77" t="n">
        <v>58.8</v>
      </c>
      <c r="O213" s="77" t="inlineStr">
        <is>
          <t>华大单barcode文库</t>
        </is>
      </c>
      <c r="P213" s="77" t="inlineStr">
        <is>
          <t>已磷酸化</t>
        </is>
      </c>
      <c r="Q213" s="77" t="inlineStr">
        <is>
          <t>未环化</t>
        </is>
      </c>
    </row>
    <row r="214" ht="30" customHeight="1" s="80">
      <c r="A214" s="160" t="n"/>
      <c r="B214" s="155" t="inlineStr">
        <is>
          <t>HGC-Lib-26083783</t>
        </is>
      </c>
      <c r="C214" s="155" t="n">
        <v>61.4</v>
      </c>
      <c r="D214" s="156" t="n">
        <v>15</v>
      </c>
      <c r="E214" s="157" t="n">
        <v>150</v>
      </c>
      <c r="F214" s="157">
        <f>ROUND(E214/C214*G215,3)</f>
        <v/>
      </c>
      <c r="G214" s="155" t="inlineStr">
        <is>
          <t>华大C4-BCR</t>
        </is>
      </c>
      <c r="H214" s="155" t="inlineStr">
        <is>
          <t>江苏省肿瘤防治研究所（江苏省肿瘤医院）</t>
        </is>
      </c>
      <c r="I214" s="157" t="n"/>
      <c r="J214" s="155" t="n"/>
      <c r="K214" s="155" t="n"/>
      <c r="L214" s="77" t="n"/>
      <c r="M214" s="77" t="n">
        <v>444</v>
      </c>
      <c r="N214" s="77" t="n">
        <v>61.4</v>
      </c>
      <c r="O214" s="77" t="inlineStr">
        <is>
          <t>华大单barcode文库</t>
        </is>
      </c>
      <c r="P214" s="77" t="inlineStr">
        <is>
          <t>已磷酸化</t>
        </is>
      </c>
      <c r="Q214" s="77" t="inlineStr">
        <is>
          <t>未环化</t>
        </is>
      </c>
    </row>
    <row r="215" ht="30" customHeight="1" s="80">
      <c r="A215" s="78" t="n"/>
      <c r="B215" s="78" t="n"/>
      <c r="C215" s="78" t="n"/>
      <c r="D215" s="86">
        <f>ROUND(SUM(D213:D214),2)</f>
        <v/>
      </c>
      <c r="E215" s="87" t="n">
        <v>300</v>
      </c>
      <c r="F215" s="87">
        <f>IF(G215&gt;1,ROUND(SUM(F213:F214)/G215*2,3),ROUND(SUM(F213:F214),3))</f>
        <v/>
      </c>
      <c r="G215" s="77" t="n">
        <v>1</v>
      </c>
      <c r="H215" s="78" t="n"/>
      <c r="I215" s="158">
        <f>ROUND(40-F215,3)</f>
        <v/>
      </c>
      <c r="J215" s="78" t="n"/>
      <c r="K215" s="78" t="n"/>
      <c r="L215" s="78" t="n"/>
      <c r="M215" s="77">
        <f>AVERAGE(M213:M214)</f>
        <v/>
      </c>
      <c r="N215" s="78" t="n"/>
      <c r="O215" s="78" t="n"/>
      <c r="P215" s="78" t="n"/>
      <c r="Q215" s="78" t="n"/>
    </row>
    <row r="216" ht="30" customHeight="1" s="80">
      <c r="A216" s="161" t="inlineStr">
        <is>
          <t>C25</t>
        </is>
      </c>
      <c r="B216" s="155" t="inlineStr">
        <is>
          <t>HGC-Lib-26083782</t>
        </is>
      </c>
      <c r="C216" s="155" t="n">
        <v>68</v>
      </c>
      <c r="D216" s="156" t="n">
        <v>15</v>
      </c>
      <c r="E216" s="157" t="n">
        <v>300</v>
      </c>
      <c r="F216" s="157">
        <f>ROUND(E216/C216*G217,3)</f>
        <v/>
      </c>
      <c r="G216" s="155" t="inlineStr">
        <is>
          <t>华大C4-TCR</t>
        </is>
      </c>
      <c r="H216" s="155" t="inlineStr">
        <is>
          <t>江苏省肿瘤防治研究所（江苏省肿瘤医院）</t>
        </is>
      </c>
      <c r="I216" s="157" t="n"/>
      <c r="J216" s="155" t="n"/>
      <c r="K216" s="155" t="n"/>
      <c r="L216" s="77" t="n"/>
      <c r="M216" s="77" t="n">
        <v>455</v>
      </c>
      <c r="N216" s="77" t="n">
        <v>68</v>
      </c>
      <c r="O216" s="77" t="inlineStr">
        <is>
          <t>华大单barcode文库</t>
        </is>
      </c>
      <c r="P216" s="77" t="inlineStr">
        <is>
          <t>已磷酸化</t>
        </is>
      </c>
      <c r="Q216" s="77" t="inlineStr">
        <is>
          <t>未环化</t>
        </is>
      </c>
    </row>
    <row r="217" ht="30" customHeight="1" s="80">
      <c r="A217" s="78" t="n"/>
      <c r="B217" s="78" t="n"/>
      <c r="C217" s="78" t="n"/>
      <c r="D217" s="86">
        <f>ROUND(SUM(D216:D216),2)</f>
        <v/>
      </c>
      <c r="E217" s="87" t="n">
        <v>300</v>
      </c>
      <c r="F217" s="87">
        <f>IF(G217&gt;1,ROUND(SUM(F216:F216)/G217*2,3),ROUND(SUM(F216:F216),3))</f>
        <v/>
      </c>
      <c r="G217" s="77" t="n">
        <v>1</v>
      </c>
      <c r="H217" s="78" t="n"/>
      <c r="I217" s="158">
        <f>ROUND(40-F217,3)</f>
        <v/>
      </c>
      <c r="J217" s="78" t="n"/>
      <c r="K217" s="78" t="n"/>
      <c r="L217" s="78" t="n"/>
      <c r="M217" s="77">
        <f>AVERAGE(M216:M216)</f>
        <v/>
      </c>
      <c r="N217" s="78" t="n"/>
      <c r="O217" s="78" t="n"/>
      <c r="P217" s="78" t="n"/>
      <c r="Q217" s="78" t="n"/>
    </row>
    <row r="218" ht="30" customHeight="1" s="80">
      <c r="A218" s="161" t="inlineStr">
        <is>
          <t>C26</t>
        </is>
      </c>
      <c r="B218" s="155" t="inlineStr">
        <is>
          <t>HGC-Lib-26083325</t>
        </is>
      </c>
      <c r="C218" s="155" t="n">
        <v>49.32</v>
      </c>
      <c r="D218" s="156" t="n">
        <v>20</v>
      </c>
      <c r="E218" s="157" t="n">
        <v>150</v>
      </c>
      <c r="F218" s="157">
        <f>ROUND(E218/C218*G220,3)</f>
        <v/>
      </c>
      <c r="G218" s="155" t="inlineStr">
        <is>
          <t>华大C4-oligo</t>
        </is>
      </c>
      <c r="H218" s="155" t="inlineStr">
        <is>
          <t>深圳湾实验室</t>
        </is>
      </c>
      <c r="I218" s="157" t="n"/>
      <c r="J218" s="155" t="n"/>
      <c r="K218" s="155" t="n"/>
      <c r="L218" s="77" t="n"/>
      <c r="M218" s="77" t="n">
        <v>188</v>
      </c>
      <c r="N218" s="77" t="n">
        <v>49.32</v>
      </c>
      <c r="O218" s="77" t="inlineStr">
        <is>
          <t>华大单barcode文库</t>
        </is>
      </c>
      <c r="P218" s="77" t="inlineStr">
        <is>
          <t>未磷酸化</t>
        </is>
      </c>
      <c r="Q218" s="77" t="inlineStr">
        <is>
          <t>未环化</t>
        </is>
      </c>
    </row>
    <row r="219" ht="30" customHeight="1" s="80">
      <c r="A219" s="160" t="n"/>
      <c r="B219" s="155" t="inlineStr">
        <is>
          <t>HGC-Lib-26083326</t>
        </is>
      </c>
      <c r="C219" s="155" t="n">
        <v>46.04</v>
      </c>
      <c r="D219" s="156" t="n">
        <v>20</v>
      </c>
      <c r="E219" s="157" t="n">
        <v>150</v>
      </c>
      <c r="F219" s="157">
        <f>ROUND(E219/C219*G220,3)</f>
        <v/>
      </c>
      <c r="G219" s="155" t="inlineStr">
        <is>
          <t>华大C4-oligo</t>
        </is>
      </c>
      <c r="H219" s="155" t="inlineStr">
        <is>
          <t>深圳湾实验室</t>
        </is>
      </c>
      <c r="I219" s="157" t="n"/>
      <c r="J219" s="155" t="n"/>
      <c r="K219" s="155" t="n"/>
      <c r="L219" s="77" t="n"/>
      <c r="M219" s="77" t="n">
        <v>181</v>
      </c>
      <c r="N219" s="77" t="n">
        <v>46.04</v>
      </c>
      <c r="O219" s="77" t="inlineStr">
        <is>
          <t>华大单barcode文库</t>
        </is>
      </c>
      <c r="P219" s="77" t="inlineStr">
        <is>
          <t>未磷酸化</t>
        </is>
      </c>
      <c r="Q219" s="77" t="inlineStr">
        <is>
          <t>未环化</t>
        </is>
      </c>
    </row>
    <row r="220" ht="30" customHeight="1" s="80">
      <c r="A220" s="78" t="n"/>
      <c r="B220" s="78" t="n"/>
      <c r="C220" s="78" t="n"/>
      <c r="D220" s="86">
        <f>ROUND(SUM(D218:D219),2)</f>
        <v/>
      </c>
      <c r="E220" s="87" t="n">
        <v>300</v>
      </c>
      <c r="F220" s="87">
        <f>IF(G220&gt;1,ROUND(SUM(F218:F219)/G220*2,3),ROUND(SUM(F218:F219),3))</f>
        <v/>
      </c>
      <c r="G220" s="77" t="n">
        <v>1</v>
      </c>
      <c r="H220" s="78" t="n"/>
      <c r="I220" s="158">
        <f>ROUND(40-F220,3)</f>
        <v/>
      </c>
      <c r="J220" s="78" t="n"/>
      <c r="K220" s="78" t="n"/>
      <c r="L220" s="78" t="n"/>
      <c r="M220" s="77">
        <f>AVERAGE(M218:M219)</f>
        <v/>
      </c>
      <c r="N220" s="78" t="n"/>
      <c r="O220" s="78" t="n"/>
      <c r="P220" s="78" t="n"/>
      <c r="Q220" s="78" t="n"/>
    </row>
    <row r="221" ht="30" customHeight="1" s="80">
      <c r="A221" s="161" t="inlineStr">
        <is>
          <t>C27</t>
        </is>
      </c>
      <c r="B221" s="155" t="inlineStr">
        <is>
          <t>HGC-POOL-26080766</t>
        </is>
      </c>
      <c r="C221" s="155" t="n">
        <v>96.75</v>
      </c>
      <c r="D221" s="156" t="n">
        <v>10</v>
      </c>
      <c r="E221" s="157" t="n">
        <v>150</v>
      </c>
      <c r="F221" s="157">
        <f>ROUND(E221/C221*G223,3)</f>
        <v/>
      </c>
      <c r="G221" s="155" t="inlineStr">
        <is>
          <t>华大C4-cDNA</t>
        </is>
      </c>
      <c r="H221" s="155" t="inlineStr">
        <is>
          <t>广州世益科技有限公司</t>
        </is>
      </c>
      <c r="I221" s="157" t="n"/>
      <c r="J221" s="155" t="n"/>
      <c r="K221" s="155" t="n"/>
      <c r="L221" s="77" t="n"/>
      <c r="M221" s="77" t="n">
        <v>415</v>
      </c>
      <c r="N221" s="77" t="n">
        <v>96.75</v>
      </c>
      <c r="O221" s="77" t="inlineStr">
        <is>
          <t>华大单barcode文库</t>
        </is>
      </c>
      <c r="P221" s="77" t="inlineStr">
        <is>
          <t>已磷酸化</t>
        </is>
      </c>
      <c r="Q221" s="77" t="inlineStr">
        <is>
          <t>未环化</t>
        </is>
      </c>
    </row>
    <row r="222" ht="30" customHeight="1" s="80">
      <c r="A222" s="160" t="n"/>
      <c r="B222" s="155" t="inlineStr">
        <is>
          <t>HGC-POOL-26080771</t>
        </is>
      </c>
      <c r="C222" s="155" t="n">
        <v>68.97</v>
      </c>
      <c r="D222" s="156" t="n">
        <v>10</v>
      </c>
      <c r="E222" s="157" t="n">
        <v>150</v>
      </c>
      <c r="F222" s="157">
        <f>ROUND(E222/C222*G223,3)</f>
        <v/>
      </c>
      <c r="G222" s="155" t="inlineStr">
        <is>
          <t>华大C4-cDNA</t>
        </is>
      </c>
      <c r="H222" s="155" t="inlineStr">
        <is>
          <t>广州世益科技有限公司</t>
        </is>
      </c>
      <c r="I222" s="157" t="n"/>
      <c r="J222" s="155" t="n"/>
      <c r="K222" s="155" t="n"/>
      <c r="L222" s="77" t="n"/>
      <c r="M222" s="77" t="n">
        <v>420</v>
      </c>
      <c r="N222" s="77" t="n">
        <v>68.97</v>
      </c>
      <c r="O222" s="77" t="inlineStr">
        <is>
          <t>华大单barcode文库</t>
        </is>
      </c>
      <c r="P222" s="77" t="inlineStr">
        <is>
          <t>已磷酸化</t>
        </is>
      </c>
      <c r="Q222" s="77" t="inlineStr">
        <is>
          <t>未环化</t>
        </is>
      </c>
    </row>
    <row r="223" ht="30" customHeight="1" s="80">
      <c r="A223" s="78" t="n"/>
      <c r="B223" s="78" t="n"/>
      <c r="C223" s="78" t="n"/>
      <c r="D223" s="86">
        <f>ROUND(SUM(D221:D222),2)</f>
        <v/>
      </c>
      <c r="E223" s="87" t="n">
        <v>300</v>
      </c>
      <c r="F223" s="87">
        <f>IF(G223&gt;1,ROUND(SUM(F221:F222)/G223*2,3),ROUND(SUM(F221:F222),3))</f>
        <v/>
      </c>
      <c r="G223" s="77" t="n">
        <v>1</v>
      </c>
      <c r="H223" s="78" t="n"/>
      <c r="I223" s="158">
        <f>ROUND(40-F223,3)</f>
        <v/>
      </c>
      <c r="J223" s="78" t="n"/>
      <c r="K223" s="78" t="n"/>
      <c r="L223" s="78" t="n"/>
      <c r="M223" s="77">
        <f>AVERAGE(M221:M222)</f>
        <v/>
      </c>
      <c r="N223" s="78" t="n"/>
      <c r="O223" s="78" t="n"/>
      <c r="P223" s="78" t="n"/>
      <c r="Q223" s="78" t="n"/>
    </row>
    <row r="224" ht="30" customHeight="1" s="80">
      <c r="A224" s="161" t="inlineStr">
        <is>
          <t>C28</t>
        </is>
      </c>
      <c r="B224" s="155" t="inlineStr">
        <is>
          <t>HGC-POOL-26082573</t>
        </is>
      </c>
      <c r="C224" s="155" t="n">
        <v>17.5</v>
      </c>
      <c r="D224" s="156" t="n">
        <v>25</v>
      </c>
      <c r="E224" s="157" t="n">
        <v>300</v>
      </c>
      <c r="F224" s="157">
        <f>ROUND(E224/C224*G225,3)</f>
        <v/>
      </c>
      <c r="G224" s="155" t="inlineStr">
        <is>
          <t>mRNA</t>
        </is>
      </c>
      <c r="H224" s="155" t="inlineStr">
        <is>
          <t>武汉瑞兴生物科技有限公司</t>
        </is>
      </c>
      <c r="I224" s="157" t="n"/>
      <c r="J224" s="155" t="n"/>
      <c r="K224" s="155" t="n"/>
      <c r="L224" s="77" t="inlineStr">
        <is>
          <t>补测_260709_R21016100250033_ML150008997</t>
        </is>
      </c>
      <c r="M224" s="77" t="n">
        <v>493</v>
      </c>
      <c r="N224" s="77" t="n">
        <v>17.5</v>
      </c>
      <c r="O224" s="77" t="inlineStr">
        <is>
          <t>华大双barcode文库</t>
        </is>
      </c>
      <c r="P224" s="77" t="inlineStr">
        <is>
          <t>已磷酸化</t>
        </is>
      </c>
      <c r="Q224" s="77" t="inlineStr">
        <is>
          <t>未环化</t>
        </is>
      </c>
    </row>
    <row r="225" ht="30" customHeight="1" s="80">
      <c r="A225" s="78" t="n"/>
      <c r="B225" s="78" t="n"/>
      <c r="C225" s="78" t="n"/>
      <c r="D225" s="86">
        <f>ROUND(SUM(D224:D224),2)</f>
        <v/>
      </c>
      <c r="E225" s="87" t="n">
        <v>300</v>
      </c>
      <c r="F225" s="87">
        <f>IF(G225&gt;1,ROUND(SUM(F224:F224)/G225*2,3),ROUND(SUM(F224:F224),3))</f>
        <v/>
      </c>
      <c r="G225" s="77" t="n">
        <v>1</v>
      </c>
      <c r="H225" s="78" t="n"/>
      <c r="I225" s="158">
        <f>ROUND(40-F225,3)</f>
        <v/>
      </c>
      <c r="J225" s="78" t="n"/>
      <c r="K225" s="78" t="n"/>
      <c r="L225" s="78" t="n"/>
      <c r="M225" s="77">
        <f>AVERAGE(M224:M224)</f>
        <v/>
      </c>
      <c r="N225" s="78" t="n"/>
      <c r="O225" s="78" t="n"/>
      <c r="P225" s="78" t="n"/>
      <c r="Q225" s="78" t="n"/>
    </row>
    <row r="226" ht="30" customHeight="1" s="80">
      <c r="A226" s="161" t="inlineStr">
        <is>
          <t>C29</t>
        </is>
      </c>
      <c r="B226" s="155" t="inlineStr">
        <is>
          <t>HGC-POOL-26082574</t>
        </is>
      </c>
      <c r="C226" s="155" t="n">
        <v>25.4</v>
      </c>
      <c r="D226" s="156" t="n">
        <v>16</v>
      </c>
      <c r="E226" s="157" t="n">
        <v>300</v>
      </c>
      <c r="F226" s="157">
        <f>ROUND(E226/C226*G227,3)</f>
        <v/>
      </c>
      <c r="G226" s="155" t="inlineStr">
        <is>
          <t>华大C4-oligo</t>
        </is>
      </c>
      <c r="H226" s="155" t="inlineStr">
        <is>
          <t>武汉瑞兴生物科技有限公司</t>
        </is>
      </c>
      <c r="I226" s="157" t="n"/>
      <c r="J226" s="155" t="n"/>
      <c r="K226" s="155" t="n"/>
      <c r="L226" s="77" t="inlineStr">
        <is>
          <t>补测_260709_R21016100250033_ML150008997</t>
        </is>
      </c>
      <c r="M226" s="77" t="n">
        <v>204</v>
      </c>
      <c r="N226" s="77" t="n">
        <v>25.4</v>
      </c>
      <c r="O226" s="77" t="inlineStr">
        <is>
          <t>华大单barcode文库</t>
        </is>
      </c>
      <c r="P226" s="77" t="inlineStr">
        <is>
          <t>已磷酸化</t>
        </is>
      </c>
      <c r="Q226" s="77" t="inlineStr">
        <is>
          <t>未环化</t>
        </is>
      </c>
    </row>
    <row r="227" ht="30" customHeight="1" s="80">
      <c r="A227" s="78" t="n"/>
      <c r="B227" s="78" t="n"/>
      <c r="C227" s="78" t="n"/>
      <c r="D227" s="86">
        <f>ROUND(SUM(D226:D226),2)</f>
        <v/>
      </c>
      <c r="E227" s="87" t="n">
        <v>300</v>
      </c>
      <c r="F227" s="87">
        <f>IF(G227&gt;1,ROUND(SUM(F226:F226)/G227*2,3),ROUND(SUM(F226:F226),3))</f>
        <v/>
      </c>
      <c r="G227" s="77" t="n">
        <v>1</v>
      </c>
      <c r="H227" s="78" t="n"/>
      <c r="I227" s="158">
        <f>ROUND(40-F227,3)</f>
        <v/>
      </c>
      <c r="J227" s="78" t="n"/>
      <c r="K227" s="78" t="n"/>
      <c r="L227" s="78" t="n"/>
      <c r="M227" s="77">
        <f>AVERAGE(M226:M226)</f>
        <v/>
      </c>
      <c r="N227" s="78" t="n"/>
      <c r="O227" s="78" t="n"/>
      <c r="P227" s="78" t="n"/>
      <c r="Q227" s="78" t="n"/>
    </row>
    <row r="228" ht="30" customHeight="1" s="80"/>
    <row r="229" ht="30" customHeight="1" s="80"/>
    <row r="231" ht="23.25" customHeight="1" s="80"/>
    <row r="232" ht="23.25" customHeight="1" s="80"/>
    <row r="233" ht="23.25" customHeight="1" s="80"/>
    <row r="234" ht="23.25" customHeight="1" s="80"/>
    <row r="235" ht="23.25" customHeight="1" s="80"/>
    <row r="236" ht="23.25" customHeight="1" s="80"/>
    <row r="237" ht="23.25" customHeight="1" s="80"/>
    <row r="238" ht="23.25" customHeight="1" s="80"/>
    <row r="239" ht="23.25" customHeight="1" s="80"/>
    <row r="240" ht="23.25" customHeight="1" s="80"/>
    <row r="241" ht="23.25" customHeight="1" s="80"/>
    <row r="242" ht="23.25" customHeight="1" s="80"/>
    <row r="243" ht="23.25" customHeight="1" s="80"/>
    <row r="244" ht="23.25" customHeight="1" s="80"/>
    <row r="245" ht="23.25" customHeight="1" s="80"/>
    <row r="246" ht="23.25" customHeight="1" s="80"/>
    <row r="247" ht="23.25" customHeight="1" s="80"/>
    <row r="248" ht="23.25" customHeight="1" s="80"/>
    <row r="249" ht="23.25" customHeight="1" s="80"/>
    <row r="250" ht="23.25" customHeight="1" s="80"/>
    <row r="251" ht="23.25" customHeight="1" s="80"/>
    <row r="252" ht="23.25" customHeight="1" s="80"/>
    <row r="253" ht="23.25" customHeight="1" s="80"/>
    <row r="254" ht="23.25" customHeight="1" s="80"/>
    <row r="255" ht="23.25" customHeight="1" s="80"/>
    <row r="256" ht="23.25" customHeight="1" s="80"/>
    <row r="257" ht="23.25" customHeight="1" s="80"/>
    <row r="258" ht="23.25" customHeight="1" s="80"/>
    <row r="259" ht="23.25" customHeight="1" s="80"/>
    <row r="260" ht="23.25" customHeight="1" s="80"/>
    <row r="261" ht="23.25" customHeight="1" s="80"/>
    <row r="262" ht="23.25" customHeight="1" s="80"/>
    <row r="263" ht="23.25" customHeight="1" s="80"/>
    <row r="264" ht="23.25" customHeight="1" s="80"/>
    <row r="265" ht="23.25" customHeight="1" s="80"/>
    <row r="266" ht="23.25" customHeight="1" s="80"/>
    <row r="267" ht="23.25" customHeight="1" s="80"/>
    <row r="268" ht="23.25" customHeight="1" s="80"/>
    <row r="269" ht="23.25" customHeight="1" s="80"/>
    <row r="270" ht="23.25" customHeight="1" s="80"/>
    <row r="271" ht="23.25" customHeight="1" s="80"/>
    <row r="272" ht="23.25" customHeight="1" s="80"/>
    <row r="273" ht="23.25" customHeight="1" s="80"/>
    <row r="274" ht="23.25" customHeight="1" s="80"/>
    <row r="275" ht="23.25" customHeight="1" s="80"/>
    <row r="276" ht="23.25" customHeight="1" s="80"/>
    <row r="277" ht="23.25" customHeight="1" s="80"/>
    <row r="278" ht="23.25" customHeight="1" s="80"/>
    <row r="279" ht="23.25" customHeight="1" s="80"/>
    <row r="280" ht="23.25" customHeight="1" s="80"/>
    <row r="281" ht="23.25" customHeight="1" s="80"/>
    <row r="282" ht="23.25" customHeight="1" s="80"/>
    <row r="283" ht="23.25" customHeight="1" s="80"/>
    <row r="284" ht="23.25" customHeight="1" s="80"/>
    <row r="285" ht="23.25" customHeight="1" s="80"/>
    <row r="286" ht="23.25" customHeight="1" s="80"/>
    <row r="287" ht="23.25" customHeight="1" s="80"/>
    <row r="288" ht="23.25" customHeight="1" s="80"/>
    <row r="289" ht="23.25" customHeight="1" s="80"/>
    <row r="290" ht="23.25" customHeight="1" s="80"/>
    <row r="291" ht="23.25" customHeight="1" s="80"/>
    <row r="292" ht="23.25" customHeight="1" s="80"/>
    <row r="293" ht="23.25" customHeight="1" s="80"/>
    <row r="294" ht="23.25" customHeight="1" s="80"/>
    <row r="295" ht="23.25" customHeight="1" s="80"/>
  </sheetData>
  <mergeCells count="19">
    <mergeCell ref="A189:A195"/>
    <mergeCell ref="A158:A168"/>
    <mergeCell ref="A2:A6"/>
    <mergeCell ref="A221:A222"/>
    <mergeCell ref="A173:A180"/>
    <mergeCell ref="A128:A131"/>
    <mergeCell ref="A140:A142"/>
    <mergeCell ref="A203:A211"/>
    <mergeCell ref="A45:A118"/>
    <mergeCell ref="A218:A219"/>
    <mergeCell ref="A144:A145"/>
    <mergeCell ref="A213:A214"/>
    <mergeCell ref="A20:A43"/>
    <mergeCell ref="A10:A18"/>
    <mergeCell ref="A133:A138"/>
    <mergeCell ref="A149:A156"/>
    <mergeCell ref="A197:A201"/>
    <mergeCell ref="A184:A187"/>
    <mergeCell ref="A170:A171"/>
  </mergeCells>
  <conditionalFormatting sqref="A1">
    <cfRule type="duplicateValues" priority="29" dxfId="0"/>
  </conditionalFormatting>
  <conditionalFormatting sqref="B1">
    <cfRule type="duplicateValues" priority="28" dxfId="0"/>
    <cfRule type="duplicateValues" priority="30" dxfId="0"/>
  </conditionalFormatting>
  <conditionalFormatting sqref="B2:B224 B226:B1048576">
    <cfRule type="duplicateValues" priority="31" dxfId="0"/>
  </conditionalFormatting>
  <pageMargins left="0.75" right="0.75" top="1" bottom="1" header="0.5" footer="0.5"/>
  <pageSetup orientation="portrait" paperSize="9" scale="66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54"/>
  <sheetViews>
    <sheetView zoomScale="70" zoomScaleNormal="70" workbookViewId="0">
      <pane ySplit="1" topLeftCell="A2" activePane="bottomLeft" state="frozen"/>
      <selection pane="bottomLeft" activeCell="I36" sqref="I36"/>
    </sheetView>
  </sheetViews>
  <sheetFormatPr baseColWidth="8" defaultColWidth="17.25" defaultRowHeight="20.1" customHeight="1"/>
  <cols>
    <col width="12" customWidth="1" style="20" min="1" max="1"/>
    <col width="8" customWidth="1" style="17" min="2" max="2"/>
    <col width="12" customWidth="1" style="106" min="3" max="3"/>
    <col width="27" customWidth="1" style="107" min="4" max="4"/>
    <col width="14" bestFit="1" customWidth="1" style="108" min="5" max="5"/>
    <col width="22" bestFit="1" customWidth="1" style="109" min="6" max="6"/>
    <col width="22" customWidth="1" style="109" min="7" max="7"/>
    <col width="27" customWidth="1" style="107" min="8" max="8"/>
    <col width="42" customWidth="1" style="110" min="9" max="9"/>
    <col width="27" customWidth="1" style="111" min="10" max="10"/>
    <col width="12" customWidth="1" style="17" min="11" max="12"/>
    <col width="12" customWidth="1" style="80" min="12" max="12"/>
    <col width="15" customWidth="1" style="17" min="13" max="13"/>
    <col width="4" customWidth="1" style="108" min="14" max="14"/>
    <col width="4" customWidth="1" style="17" min="15" max="15"/>
    <col width="4" customWidth="1" style="80" min="16" max="16"/>
    <col width="4" customWidth="1" style="17" min="17" max="17"/>
    <col width="17.25" customWidth="1" style="17" min="18" max="18"/>
    <col width="17.25" customWidth="1" style="17" min="19" max="16384"/>
  </cols>
  <sheetData>
    <row r="1" ht="40" customFormat="1" customHeight="1" s="16">
      <c r="A1" s="34" t="inlineStr">
        <is>
          <t>文库编号</t>
        </is>
      </c>
      <c r="B1" s="112" t="inlineStr">
        <is>
          <t>浓度</t>
        </is>
      </c>
      <c r="C1" s="113" t="inlineStr">
        <is>
          <t>主峰片段</t>
        </is>
      </c>
      <c r="D1" s="64" t="inlineStr">
        <is>
          <t>1pmol产物对应质量（ng）</t>
        </is>
      </c>
      <c r="E1" s="114" t="inlineStr">
        <is>
          <t>数据量（G)</t>
        </is>
      </c>
      <c r="F1" s="115" t="inlineStr">
        <is>
          <t>文库摩尔质量（nM）</t>
        </is>
      </c>
      <c r="G1" s="116" t="inlineStr">
        <is>
          <t>最终取样体积（ul）</t>
        </is>
      </c>
      <c r="H1" s="34" t="inlineStr">
        <is>
          <t>文库类型</t>
        </is>
      </c>
      <c r="I1" s="117" t="inlineStr">
        <is>
          <t>客户单位</t>
        </is>
      </c>
      <c r="J1" s="118" t="inlineStr">
        <is>
          <t>TE Buffer补充体积（uL）</t>
        </is>
      </c>
      <c r="K1" s="41" t="inlineStr">
        <is>
          <t>环化个数</t>
        </is>
      </c>
      <c r="L1" s="34" t="inlineStr">
        <is>
          <t>环化浓度</t>
        </is>
      </c>
      <c r="M1" s="34" t="inlineStr">
        <is>
          <t>环化效率</t>
        </is>
      </c>
      <c r="N1" s="55" t="n"/>
      <c r="O1" s="55" t="n"/>
      <c r="P1" s="55" t="n"/>
    </row>
    <row r="2" ht="30" customHeight="1" s="80">
      <c r="A2" s="155" t="inlineStr">
        <is>
          <t>A1</t>
        </is>
      </c>
      <c r="B2" s="162" t="n"/>
      <c r="C2" s="162" t="n"/>
      <c r="D2" s="156">
        <f>C2*0.66*1</f>
        <v/>
      </c>
      <c r="E2" s="157" t="n">
        <v>100</v>
      </c>
      <c r="F2" s="157">
        <f>D2</f>
        <v/>
      </c>
      <c r="G2" s="155">
        <f>F2/B2</f>
        <v/>
      </c>
      <c r="H2" s="155" t="inlineStr">
        <is>
          <t>MobiNova 单细胞3端文库</t>
        </is>
      </c>
      <c r="I2" s="157" t="inlineStr">
        <is>
          <t>广州承启生物科技有限公司</t>
        </is>
      </c>
      <c r="J2" s="155">
        <f>40-G2</f>
        <v/>
      </c>
      <c r="K2" s="162" t="n"/>
      <c r="L2" s="78" t="n"/>
      <c r="M2" s="77">
        <f>22*L2/F2</f>
        <v/>
      </c>
      <c r="N2" s="78" t="n"/>
      <c r="O2" s="78" t="n"/>
      <c r="P2" s="78" t="n"/>
    </row>
    <row r="3" ht="30" customHeight="1" s="80">
      <c r="A3" s="155" t="inlineStr">
        <is>
          <t>A2</t>
        </is>
      </c>
      <c r="B3" s="162" t="n"/>
      <c r="C3" s="162" t="n"/>
      <c r="D3" s="156">
        <f>C3*0.66*1</f>
        <v/>
      </c>
      <c r="E3" s="157" t="n">
        <v>100</v>
      </c>
      <c r="F3" s="157">
        <f>D3</f>
        <v/>
      </c>
      <c r="G3" s="155">
        <f>F3/B3</f>
        <v/>
      </c>
      <c r="H3" s="155" t="inlineStr">
        <is>
          <t>墨卓单细胞3端转录组文库</t>
        </is>
      </c>
      <c r="I3" s="157" t="inlineStr">
        <is>
          <t>武汉百易汇能生物科技有限公司</t>
        </is>
      </c>
      <c r="J3" s="155">
        <f>40-G3</f>
        <v/>
      </c>
      <c r="K3" s="162" t="n"/>
      <c r="L3" s="78" t="n"/>
      <c r="M3" s="77">
        <f>22*L3/F3</f>
        <v/>
      </c>
      <c r="N3" s="78" t="n"/>
      <c r="O3" s="78" t="n"/>
      <c r="P3" s="78" t="n"/>
    </row>
    <row r="4" ht="30" customHeight="1" s="80">
      <c r="A4" s="155" t="inlineStr">
        <is>
          <t>A3</t>
        </is>
      </c>
      <c r="B4" s="162" t="n"/>
      <c r="C4" s="162" t="n"/>
      <c r="D4" s="156">
        <f>C4*0.66*1</f>
        <v/>
      </c>
      <c r="E4" s="157" t="n">
        <v>700</v>
      </c>
      <c r="F4" s="157">
        <f>D4</f>
        <v/>
      </c>
      <c r="G4" s="155">
        <f>F4/B4</f>
        <v/>
      </c>
      <c r="H4" s="155" t="inlineStr">
        <is>
          <t>10x3′单细胞转录组</t>
        </is>
      </c>
      <c r="I4" s="157" t="inlineStr">
        <is>
          <t>江西烈冰生物科技有限公司</t>
        </is>
      </c>
      <c r="J4" s="155">
        <f>40-G4</f>
        <v/>
      </c>
      <c r="K4" s="162" t="n"/>
      <c r="L4" s="78" t="n"/>
      <c r="M4" s="77">
        <f>22*L4/F4</f>
        <v/>
      </c>
      <c r="N4" s="78" t="n"/>
      <c r="O4" s="78" t="n"/>
      <c r="P4" s="78" t="n"/>
    </row>
    <row r="5" ht="30" customHeight="1" s="80">
      <c r="A5" s="155" t="inlineStr">
        <is>
          <t>A4</t>
        </is>
      </c>
      <c r="B5" s="162" t="n"/>
      <c r="C5" s="162" t="n"/>
      <c r="D5" s="156">
        <f>C5*0.66*1</f>
        <v/>
      </c>
      <c r="E5" s="157" t="n">
        <v>600</v>
      </c>
      <c r="F5" s="157">
        <f>D5</f>
        <v/>
      </c>
      <c r="G5" s="155">
        <f>F5/B5</f>
        <v/>
      </c>
      <c r="H5" s="155" t="inlineStr">
        <is>
          <t>10x3′单细胞转录组</t>
        </is>
      </c>
      <c r="I5" s="157" t="inlineStr">
        <is>
          <t>江西烈冰生物科技有限公司</t>
        </is>
      </c>
      <c r="J5" s="155">
        <f>40-G5</f>
        <v/>
      </c>
      <c r="K5" s="162" t="n"/>
      <c r="L5" s="78" t="n"/>
      <c r="M5" s="77">
        <f>22*L5/F5</f>
        <v/>
      </c>
      <c r="N5" s="78" t="n"/>
      <c r="O5" s="78" t="n"/>
      <c r="P5" s="78" t="n"/>
    </row>
    <row r="6" ht="30" customHeight="1" s="80">
      <c r="A6" s="155" t="inlineStr">
        <is>
          <t>A5</t>
        </is>
      </c>
      <c r="B6" s="162" t="n"/>
      <c r="C6" s="162" t="n"/>
      <c r="D6" s="156">
        <f>C6*0.66*1</f>
        <v/>
      </c>
      <c r="E6" s="157" t="n">
        <v>750</v>
      </c>
      <c r="F6" s="157">
        <f>D6</f>
        <v/>
      </c>
      <c r="G6" s="155">
        <f>F6/B6</f>
        <v/>
      </c>
      <c r="H6" s="155" t="inlineStr">
        <is>
          <t>自建单细胞3`转录组文库</t>
        </is>
      </c>
      <c r="I6" s="157" t="inlineStr">
        <is>
          <t>深圳达普生物科技有限公司</t>
        </is>
      </c>
      <c r="J6" s="155">
        <f>40-G6</f>
        <v/>
      </c>
      <c r="K6" s="162" t="n"/>
      <c r="L6" s="78" t="n"/>
      <c r="M6" s="77">
        <f>22*L6/F6</f>
        <v/>
      </c>
      <c r="N6" s="78" t="n"/>
      <c r="O6" s="78" t="n"/>
      <c r="P6" s="78" t="n"/>
    </row>
    <row r="7" ht="30" customHeight="1" s="80">
      <c r="A7" s="155" t="inlineStr">
        <is>
          <t>A6</t>
        </is>
      </c>
      <c r="B7" s="162" t="n"/>
      <c r="C7" s="162" t="n"/>
      <c r="D7" s="156">
        <f>C7*0.66*1</f>
        <v/>
      </c>
      <c r="E7" s="157" t="n">
        <v>750</v>
      </c>
      <c r="F7" s="157">
        <f>D7</f>
        <v/>
      </c>
      <c r="G7" s="155">
        <f>F7/B7</f>
        <v/>
      </c>
      <c r="H7" s="155" t="inlineStr">
        <is>
          <t>自建单细胞3`转录组文库</t>
        </is>
      </c>
      <c r="I7" s="157" t="inlineStr">
        <is>
          <t>深圳达普生物科技有限公司</t>
        </is>
      </c>
      <c r="J7" s="155">
        <f>40-G7</f>
        <v/>
      </c>
      <c r="K7" s="162" t="n"/>
      <c r="L7" s="78" t="n"/>
      <c r="M7" s="77">
        <f>22*L7/F7</f>
        <v/>
      </c>
      <c r="N7" s="78" t="n"/>
      <c r="O7" s="78" t="n"/>
      <c r="P7" s="78" t="n"/>
    </row>
    <row r="8" ht="30" customHeight="1" s="80">
      <c r="A8" s="155" t="inlineStr">
        <is>
          <t>A7</t>
        </is>
      </c>
      <c r="B8" s="162" t="n"/>
      <c r="C8" s="162" t="n"/>
      <c r="D8" s="156">
        <f>C8*0.66*1</f>
        <v/>
      </c>
      <c r="E8" s="157" t="n">
        <v>750</v>
      </c>
      <c r="F8" s="157">
        <f>D8</f>
        <v/>
      </c>
      <c r="G8" s="155">
        <f>F8/B8</f>
        <v/>
      </c>
      <c r="H8" s="155" t="inlineStr">
        <is>
          <t>自建单细胞3`转录组文库</t>
        </is>
      </c>
      <c r="I8" s="157" t="inlineStr">
        <is>
          <t>深圳达普生物科技有限公司</t>
        </is>
      </c>
      <c r="J8" s="155">
        <f>40-G8</f>
        <v/>
      </c>
      <c r="K8" s="162" t="n"/>
      <c r="L8" s="78" t="n"/>
      <c r="M8" s="77">
        <f>22*L8/F8</f>
        <v/>
      </c>
      <c r="N8" s="78" t="n"/>
      <c r="O8" s="78" t="n"/>
      <c r="P8" s="78" t="n"/>
    </row>
    <row r="9" ht="30" customFormat="1" customHeight="1" s="18">
      <c r="A9" s="78" t="n"/>
      <c r="B9" s="78" t="n"/>
      <c r="C9" s="78" t="n"/>
      <c r="D9" s="89" t="n"/>
      <c r="E9" s="90" t="n"/>
      <c r="F9" s="90" t="n"/>
      <c r="G9" s="78" t="n"/>
      <c r="H9" s="78" t="n"/>
      <c r="I9" s="90" t="n"/>
      <c r="J9" s="78" t="n"/>
      <c r="K9" s="78" t="n"/>
      <c r="L9" s="78" t="n"/>
      <c r="M9" s="78" t="n"/>
      <c r="N9" s="78" t="n"/>
      <c r="O9" s="78" t="n"/>
      <c r="P9" s="78" t="n"/>
    </row>
    <row r="10" ht="30" customFormat="1" customHeight="1" s="18">
      <c r="A10" s="155" t="inlineStr">
        <is>
          <t>B1</t>
        </is>
      </c>
      <c r="B10" s="162" t="n"/>
      <c r="C10" s="162" t="n"/>
      <c r="D10" s="156">
        <f>C10*0.66*1</f>
        <v/>
      </c>
      <c r="E10" s="157" t="n">
        <v>2</v>
      </c>
      <c r="F10" s="157">
        <f>D10</f>
        <v/>
      </c>
      <c r="G10" s="155">
        <f>F10/B10</f>
        <v/>
      </c>
      <c r="H10" s="155" t="inlineStr">
        <is>
          <t>有参转录组（RNA-seq）</t>
        </is>
      </c>
      <c r="I10" s="157" t="inlineStr">
        <is>
          <t>广州奥智生物科技有限公司</t>
        </is>
      </c>
      <c r="J10" s="155">
        <f>40-G10</f>
        <v/>
      </c>
      <c r="K10" s="162" t="n"/>
      <c r="L10" s="78" t="n"/>
      <c r="M10" s="77">
        <f>22*L10/F10</f>
        <v/>
      </c>
      <c r="N10" s="78" t="n"/>
      <c r="O10" s="78" t="n"/>
      <c r="P10" s="78" t="n"/>
    </row>
    <row r="11" ht="30" customHeight="1" s="80">
      <c r="A11" s="155" t="inlineStr">
        <is>
          <t>B2</t>
        </is>
      </c>
      <c r="B11" s="162" t="n"/>
      <c r="C11" s="162" t="n"/>
      <c r="D11" s="156">
        <f>C11*0.66*1</f>
        <v/>
      </c>
      <c r="E11" s="157" t="n">
        <v>583</v>
      </c>
      <c r="F11" s="157">
        <f>D11</f>
        <v/>
      </c>
      <c r="G11" s="155">
        <f>F11/B11</f>
        <v/>
      </c>
      <c r="H11" s="155" t="inlineStr">
        <is>
          <t>singleron-3'转录组文库</t>
        </is>
      </c>
      <c r="I11" s="157" t="inlineStr">
        <is>
          <t>南京通元医学检验实验室有限公司</t>
        </is>
      </c>
      <c r="J11" s="155">
        <f>40-G11</f>
        <v/>
      </c>
      <c r="K11" s="162" t="n"/>
      <c r="L11" s="78" t="n"/>
      <c r="M11" s="77">
        <f>22*L11/F11</f>
        <v/>
      </c>
      <c r="N11" s="78" t="n"/>
      <c r="O11" s="78" t="n"/>
      <c r="P11" s="78" t="n"/>
    </row>
    <row r="12" ht="30" customHeight="1" s="80">
      <c r="A12" s="155" t="inlineStr">
        <is>
          <t>B3</t>
        </is>
      </c>
      <c r="B12" s="162" t="n"/>
      <c r="C12" s="162" t="n"/>
      <c r="D12" s="156">
        <f>C12*0.66*1</f>
        <v/>
      </c>
      <c r="E12" s="157" t="n">
        <v>295</v>
      </c>
      <c r="F12" s="157">
        <f>D12</f>
        <v/>
      </c>
      <c r="G12" s="155">
        <f>F12/B12</f>
        <v/>
      </c>
      <c r="H12" s="155" t="inlineStr">
        <is>
          <t>singleron-3'转录组文库</t>
        </is>
      </c>
      <c r="I12" s="157" t="inlineStr">
        <is>
          <t>南京通元医学检验实验室有限公司</t>
        </is>
      </c>
      <c r="J12" s="155">
        <f>40-G12</f>
        <v/>
      </c>
      <c r="K12" s="162" t="n"/>
      <c r="L12" s="78" t="n"/>
      <c r="M12" s="77">
        <f>22*L12/F12</f>
        <v/>
      </c>
      <c r="N12" s="78" t="n"/>
      <c r="O12" s="78" t="n"/>
      <c r="P12" s="78" t="n"/>
    </row>
    <row r="13" ht="30" customHeight="1" s="80">
      <c r="A13" s="155" t="inlineStr">
        <is>
          <t>B4</t>
        </is>
      </c>
      <c r="B13" s="162" t="n"/>
      <c r="C13" s="162" t="n"/>
      <c r="D13" s="156">
        <f>C13*0.66*1</f>
        <v/>
      </c>
      <c r="E13" s="157" t="n">
        <v>20</v>
      </c>
      <c r="F13" s="157">
        <f>D13</f>
        <v/>
      </c>
      <c r="G13" s="155">
        <f>F13/B13</f>
        <v/>
      </c>
      <c r="H13" s="155" t="inlineStr">
        <is>
          <t>singleron-3'转录组文库</t>
        </is>
      </c>
      <c r="I13" s="157" t="inlineStr">
        <is>
          <t>南京通元医学检验实验室有限公司</t>
        </is>
      </c>
      <c r="J13" s="155">
        <f>40-G13</f>
        <v/>
      </c>
      <c r="K13" s="162" t="n"/>
      <c r="L13" s="78" t="n"/>
      <c r="M13" s="77">
        <f>22*L13/F13</f>
        <v/>
      </c>
      <c r="N13" s="78" t="n"/>
      <c r="O13" s="78" t="n"/>
      <c r="P13" s="78" t="n"/>
    </row>
    <row r="14" ht="30" customHeight="1" s="80">
      <c r="A14" s="155" t="inlineStr">
        <is>
          <t>B5</t>
        </is>
      </c>
      <c r="B14" s="162" t="n"/>
      <c r="C14" s="162" t="n"/>
      <c r="D14" s="156">
        <f>C14*0.66*1</f>
        <v/>
      </c>
      <c r="E14" s="157" t="n">
        <v>820</v>
      </c>
      <c r="F14" s="157">
        <f>D14</f>
        <v/>
      </c>
      <c r="G14" s="155">
        <f>F14/B14</f>
        <v/>
      </c>
      <c r="H14" s="155" t="inlineStr">
        <is>
          <t>singleron-3'转录组文库</t>
        </is>
      </c>
      <c r="I14" s="157" t="inlineStr">
        <is>
          <t>南京通元医学检验实验室有限公司</t>
        </is>
      </c>
      <c r="J14" s="155">
        <f>40-G14</f>
        <v/>
      </c>
      <c r="K14" s="162" t="n"/>
      <c r="L14" s="78" t="n"/>
      <c r="M14" s="77">
        <f>22*L14/F14</f>
        <v/>
      </c>
      <c r="N14" s="78" t="n"/>
      <c r="O14" s="78" t="n"/>
      <c r="P14" s="78" t="n"/>
    </row>
    <row r="15" ht="30" customHeight="1" s="80">
      <c r="A15" s="155" t="inlineStr">
        <is>
          <t>B6</t>
        </is>
      </c>
      <c r="B15" s="162" t="n"/>
      <c r="C15" s="162" t="n"/>
      <c r="D15" s="156">
        <f>C15*0.66*1</f>
        <v/>
      </c>
      <c r="E15" s="157" t="n">
        <v>100</v>
      </c>
      <c r="F15" s="157">
        <f>D15</f>
        <v/>
      </c>
      <c r="G15" s="155">
        <f>F15/B15</f>
        <v/>
      </c>
      <c r="H15" s="155" t="inlineStr">
        <is>
          <t>singleron-空转文库</t>
        </is>
      </c>
      <c r="I15" s="157" t="inlineStr">
        <is>
          <t>南京通元医学检验实验室有限公司</t>
        </is>
      </c>
      <c r="J15" s="155">
        <f>40-G15</f>
        <v/>
      </c>
      <c r="K15" s="162" t="n"/>
      <c r="L15" s="78" t="n"/>
      <c r="M15" s="77">
        <f>22*L15/F15</f>
        <v/>
      </c>
      <c r="N15" s="78" t="n"/>
      <c r="O15" s="78" t="n"/>
      <c r="P15" s="78" t="n"/>
    </row>
    <row r="16" ht="30" customHeight="1" s="80">
      <c r="A16" s="155" t="inlineStr">
        <is>
          <t>B7</t>
        </is>
      </c>
      <c r="B16" s="162" t="n"/>
      <c r="C16" s="162" t="n"/>
      <c r="D16" s="156">
        <f>C16*0.66*1</f>
        <v/>
      </c>
      <c r="E16" s="157" t="n">
        <v>60</v>
      </c>
      <c r="F16" s="157">
        <f>D16</f>
        <v/>
      </c>
      <c r="G16" s="155">
        <f>F16/B16</f>
        <v/>
      </c>
      <c r="H16" s="155" t="inlineStr">
        <is>
          <t>mRNA-T7</t>
        </is>
      </c>
      <c r="I16" s="157" t="inlineStr">
        <is>
          <t>暨南大学</t>
        </is>
      </c>
      <c r="J16" s="155">
        <f>40-G16</f>
        <v/>
      </c>
      <c r="K16" s="162" t="n"/>
      <c r="L16" s="78" t="n"/>
      <c r="M16" s="77">
        <f>22*L16/F16</f>
        <v/>
      </c>
      <c r="N16" s="78" t="n"/>
      <c r="O16" s="78" t="n"/>
      <c r="P16" s="78" t="n"/>
    </row>
    <row r="17" ht="30" customHeight="1" s="80">
      <c r="A17" s="155" t="inlineStr">
        <is>
          <t>B8</t>
        </is>
      </c>
      <c r="B17" s="162" t="n"/>
      <c r="C17" s="162" t="n"/>
      <c r="D17" s="156">
        <f>C17*0.66*1</f>
        <v/>
      </c>
      <c r="E17" s="157" t="n">
        <v>552</v>
      </c>
      <c r="F17" s="157">
        <f>D17</f>
        <v/>
      </c>
      <c r="G17" s="155">
        <f>F17/B17</f>
        <v/>
      </c>
      <c r="H17" s="155" t="inlineStr">
        <is>
          <t>mRNA</t>
        </is>
      </c>
      <c r="I17" s="157" t="inlineStr">
        <is>
          <t>江西烈冰生物科技有限公司</t>
        </is>
      </c>
      <c r="J17" s="155">
        <f>40-G17</f>
        <v/>
      </c>
      <c r="K17" s="162" t="n"/>
      <c r="L17" s="78" t="n"/>
      <c r="M17" s="77">
        <f>22*L17/F17</f>
        <v/>
      </c>
      <c r="N17" s="78" t="n"/>
      <c r="O17" s="78" t="n"/>
      <c r="P17" s="78" t="n"/>
    </row>
    <row r="18" ht="30" customHeight="1" s="80">
      <c r="A18" s="155" t="inlineStr">
        <is>
          <t>B9</t>
        </is>
      </c>
      <c r="B18" s="162" t="n"/>
      <c r="C18" s="162" t="n"/>
      <c r="D18" s="156">
        <f>C18*0.66*1</f>
        <v/>
      </c>
      <c r="E18" s="157" t="n">
        <v>552</v>
      </c>
      <c r="F18" s="157">
        <f>D18</f>
        <v/>
      </c>
      <c r="G18" s="155">
        <f>F18/B18</f>
        <v/>
      </c>
      <c r="H18" s="155" t="inlineStr">
        <is>
          <t>mRNA</t>
        </is>
      </c>
      <c r="I18" s="157" t="inlineStr">
        <is>
          <t>江西烈冰生物科技有限公司</t>
        </is>
      </c>
      <c r="J18" s="155">
        <f>40-G18</f>
        <v/>
      </c>
      <c r="K18" s="162" t="n"/>
      <c r="L18" s="78" t="n"/>
      <c r="M18" s="77">
        <f>22*L18/F18</f>
        <v/>
      </c>
      <c r="N18" s="78" t="n"/>
      <c r="O18" s="78" t="n"/>
      <c r="P18" s="78" t="n"/>
    </row>
    <row r="19" ht="30" customHeight="1" s="80">
      <c r="A19" s="155" t="inlineStr">
        <is>
          <t>B10</t>
        </is>
      </c>
      <c r="B19" s="162" t="n"/>
      <c r="C19" s="162" t="n"/>
      <c r="D19" s="156">
        <f>C19*0.66*1</f>
        <v/>
      </c>
      <c r="E19" s="157" t="n">
        <v>150</v>
      </c>
      <c r="F19" s="157">
        <f>D19</f>
        <v/>
      </c>
      <c r="G19" s="155">
        <f>F19/B19</f>
        <v/>
      </c>
      <c r="H19" s="155" t="inlineStr">
        <is>
          <t>自建单细胞3`转录组文库</t>
        </is>
      </c>
      <c r="I19" s="157" t="inlineStr">
        <is>
          <t>深圳达普生物科技有限公司</t>
        </is>
      </c>
      <c r="J19" s="155">
        <f>40-G19</f>
        <v/>
      </c>
      <c r="K19" s="162" t="n"/>
      <c r="L19" s="78" t="n"/>
      <c r="M19" s="77">
        <f>22*L19/F19</f>
        <v/>
      </c>
      <c r="N19" s="78" t="n"/>
      <c r="O19" s="78" t="n"/>
      <c r="P19" s="78" t="n"/>
    </row>
    <row r="20" ht="30" customHeight="1" s="80">
      <c r="A20" s="155" t="inlineStr">
        <is>
          <t>B11</t>
        </is>
      </c>
      <c r="B20" s="162" t="n"/>
      <c r="C20" s="162" t="n"/>
      <c r="D20" s="156">
        <f>C20*0.66*1</f>
        <v/>
      </c>
      <c r="E20" s="157" t="n">
        <v>24</v>
      </c>
      <c r="F20" s="157">
        <f>D20</f>
        <v/>
      </c>
      <c r="G20" s="155">
        <f>F20/B20</f>
        <v/>
      </c>
      <c r="H20" s="155" t="inlineStr">
        <is>
          <t>华大-C4-oligo</t>
        </is>
      </c>
      <c r="I20" s="157" t="inlineStr">
        <is>
          <t>广州奥智生物科技有限公司</t>
        </is>
      </c>
      <c r="J20" s="155">
        <f>40-G20</f>
        <v/>
      </c>
      <c r="K20" s="162" t="n"/>
      <c r="L20" s="78" t="n"/>
      <c r="M20" s="77">
        <f>22*L20/F20</f>
        <v/>
      </c>
      <c r="N20" s="78" t="n"/>
      <c r="O20" s="78" t="n"/>
      <c r="P20" s="78" t="n"/>
    </row>
    <row r="21" ht="30" customHeight="1" s="80">
      <c r="A21" s="155" t="inlineStr">
        <is>
          <t>B12</t>
        </is>
      </c>
      <c r="B21" s="162" t="n"/>
      <c r="C21" s="162" t="n"/>
      <c r="D21" s="156">
        <f>C21*0.66*1</f>
        <v/>
      </c>
      <c r="E21" s="157" t="n">
        <v>352</v>
      </c>
      <c r="F21" s="157">
        <f>D21</f>
        <v/>
      </c>
      <c r="G21" s="155">
        <f>F21/B21</f>
        <v/>
      </c>
      <c r="H21" s="155" t="inlineStr">
        <is>
          <t>华大-C4-转录组</t>
        </is>
      </c>
      <c r="I21" s="157" t="inlineStr">
        <is>
          <t>广州奥智生物科技有限公司</t>
        </is>
      </c>
      <c r="J21" s="155">
        <f>40-G21</f>
        <v/>
      </c>
      <c r="K21" s="162" t="n"/>
      <c r="L21" s="78" t="n"/>
      <c r="M21" s="77">
        <f>22*L21/F21</f>
        <v/>
      </c>
      <c r="N21" s="78" t="n"/>
      <c r="O21" s="78" t="n"/>
      <c r="P21" s="78" t="n"/>
    </row>
    <row r="22" ht="30" customHeight="1" s="80">
      <c r="A22" s="155" t="inlineStr">
        <is>
          <t>B13</t>
        </is>
      </c>
      <c r="B22" s="162" t="n"/>
      <c r="C22" s="162" t="n"/>
      <c r="D22" s="156">
        <f>C22*0.66*1</f>
        <v/>
      </c>
      <c r="E22" s="157" t="n">
        <v>6</v>
      </c>
      <c r="F22" s="157">
        <f>D22</f>
        <v/>
      </c>
      <c r="G22" s="155">
        <f>F22/B22</f>
        <v/>
      </c>
      <c r="H22" s="155" t="inlineStr">
        <is>
          <t>扩增子文库</t>
        </is>
      </c>
      <c r="I22" s="157" t="inlineStr">
        <is>
          <t>广东美格基因科技有限公司</t>
        </is>
      </c>
      <c r="J22" s="155">
        <f>40-G22</f>
        <v/>
      </c>
      <c r="K22" s="162" t="n"/>
      <c r="L22" s="78" t="n"/>
      <c r="M22" s="77">
        <f>22*L22/F22</f>
        <v/>
      </c>
      <c r="N22" s="78" t="n"/>
      <c r="O22" s="78" t="n"/>
      <c r="P22" s="78" t="n"/>
    </row>
    <row r="23" ht="30" customHeight="1" s="80">
      <c r="A23" s="155" t="inlineStr">
        <is>
          <t>B14</t>
        </is>
      </c>
      <c r="B23" s="162" t="n"/>
      <c r="C23" s="162" t="n"/>
      <c r="D23" s="156">
        <f>C23*0.66*1</f>
        <v/>
      </c>
      <c r="E23" s="157" t="n">
        <v>110</v>
      </c>
      <c r="F23" s="157">
        <f>D23</f>
        <v/>
      </c>
      <c r="G23" s="155">
        <f>F23/B23</f>
        <v/>
      </c>
      <c r="H23" s="155" t="inlineStr">
        <is>
          <t>华大C4-cDNA</t>
        </is>
      </c>
      <c r="I23" s="157" t="inlineStr">
        <is>
          <t>广州世益科技有限公司</t>
        </is>
      </c>
      <c r="J23" s="155">
        <f>40-G23</f>
        <v/>
      </c>
      <c r="K23" s="162" t="n"/>
      <c r="L23" s="78" t="n"/>
      <c r="M23" s="77">
        <f>22*L23/F23</f>
        <v/>
      </c>
      <c r="N23" s="78" t="n"/>
      <c r="O23" s="78" t="n"/>
      <c r="P23" s="78" t="n"/>
    </row>
    <row r="24" ht="30" customHeight="1" s="80">
      <c r="A24" s="155" t="inlineStr">
        <is>
          <t>B15</t>
        </is>
      </c>
      <c r="B24" s="162" t="n"/>
      <c r="C24" s="162" t="n"/>
      <c r="D24" s="156">
        <f>C24*0.66*1</f>
        <v/>
      </c>
      <c r="E24" s="157" t="n">
        <v>30</v>
      </c>
      <c r="F24" s="157">
        <f>D24</f>
        <v/>
      </c>
      <c r="G24" s="155">
        <f>F24/B24</f>
        <v/>
      </c>
      <c r="H24" s="155" t="inlineStr">
        <is>
          <t>华大C4-cDNA</t>
        </is>
      </c>
      <c r="I24" s="157" t="inlineStr">
        <is>
          <t>广州世益科技有限公司</t>
        </is>
      </c>
      <c r="J24" s="155">
        <f>40-G24</f>
        <v/>
      </c>
      <c r="K24" s="162" t="n"/>
      <c r="L24" s="78" t="n"/>
      <c r="M24" s="77">
        <f>22*L24/F24</f>
        <v/>
      </c>
      <c r="N24" s="78" t="n"/>
      <c r="O24" s="78" t="n"/>
      <c r="P24" s="78" t="n"/>
    </row>
    <row r="25" ht="30" customHeight="1" s="80">
      <c r="A25" s="78" t="n"/>
      <c r="B25" s="78" t="n"/>
      <c r="C25" s="78" t="n"/>
      <c r="D25" s="89" t="n"/>
      <c r="E25" s="90" t="n"/>
      <c r="F25" s="90" t="n"/>
      <c r="G25" s="78" t="n"/>
      <c r="H25" s="78" t="n"/>
      <c r="I25" s="90" t="n"/>
      <c r="J25" s="78" t="n"/>
      <c r="K25" s="78" t="n"/>
      <c r="L25" s="78" t="n"/>
      <c r="M25" s="78" t="n"/>
      <c r="N25" s="78" t="n"/>
      <c r="O25" s="78" t="n"/>
      <c r="P25" s="78" t="n"/>
    </row>
    <row r="26" ht="30" customHeight="1" s="80">
      <c r="A26" s="155" t="inlineStr">
        <is>
          <t>C1</t>
        </is>
      </c>
      <c r="B26" s="162" t="n"/>
      <c r="C26" s="162" t="n"/>
      <c r="D26" s="156">
        <f>C26*0.66*1</f>
        <v/>
      </c>
      <c r="E26" s="157" t="n">
        <v>66.13</v>
      </c>
      <c r="F26" s="157">
        <f>D26</f>
        <v/>
      </c>
      <c r="G26" s="155">
        <f>F26/B26</f>
        <v/>
      </c>
      <c r="H26" s="155" t="inlineStr">
        <is>
          <t>10X-3-转录组</t>
        </is>
      </c>
      <c r="I26" s="157" t="inlineStr">
        <is>
          <t>广州奥智生物科技有限公司</t>
        </is>
      </c>
      <c r="J26" s="155">
        <f>40-G26</f>
        <v/>
      </c>
      <c r="K26" s="162" t="n"/>
      <c r="L26" s="78" t="n"/>
      <c r="M26" s="77">
        <f>22*L26/F26</f>
        <v/>
      </c>
      <c r="N26" s="78" t="n"/>
      <c r="O26" s="78" t="n"/>
      <c r="P26" s="78" t="n"/>
    </row>
    <row r="27" ht="30" customFormat="1" customHeight="1" s="18">
      <c r="A27" s="155" t="inlineStr">
        <is>
          <t>C2</t>
        </is>
      </c>
      <c r="B27" s="162" t="n"/>
      <c r="C27" s="162" t="n"/>
      <c r="D27" s="156">
        <f>C27*0.66*1</f>
        <v/>
      </c>
      <c r="E27" s="157" t="n">
        <v>17.01</v>
      </c>
      <c r="F27" s="157">
        <f>D27</f>
        <v/>
      </c>
      <c r="G27" s="155">
        <f>F27/B27</f>
        <v/>
      </c>
      <c r="H27" s="155" t="inlineStr">
        <is>
          <t>10X-3-转录组</t>
        </is>
      </c>
      <c r="I27" s="157" t="inlineStr">
        <is>
          <t>广州奥智生物科技有限公司</t>
        </is>
      </c>
      <c r="J27" s="155">
        <f>40-G27</f>
        <v/>
      </c>
      <c r="K27" s="162" t="n"/>
      <c r="L27" s="78" t="n"/>
      <c r="M27" s="77">
        <f>22*L27/F27</f>
        <v/>
      </c>
      <c r="N27" s="78" t="n"/>
      <c r="O27" s="78" t="n"/>
      <c r="P27" s="78" t="n"/>
    </row>
    <row r="28" ht="30" customFormat="1" customHeight="1" s="18">
      <c r="A28" s="155" t="inlineStr">
        <is>
          <t>C3</t>
        </is>
      </c>
      <c r="B28" s="162" t="n"/>
      <c r="C28" s="162" t="n"/>
      <c r="D28" s="156">
        <f>C28*0.66*1</f>
        <v/>
      </c>
      <c r="E28" s="157" t="n">
        <v>45</v>
      </c>
      <c r="F28" s="157">
        <f>D28</f>
        <v/>
      </c>
      <c r="G28" s="155">
        <f>F28/B28</f>
        <v/>
      </c>
      <c r="H28" s="155" t="inlineStr">
        <is>
          <t>无参转录组（RNA-seq）</t>
        </is>
      </c>
      <c r="I28" s="157" t="inlineStr">
        <is>
          <t>广州奥智生物科技有限公司</t>
        </is>
      </c>
      <c r="J28" s="155">
        <f>40-G28</f>
        <v/>
      </c>
      <c r="K28" s="162" t="n"/>
      <c r="L28" s="78" t="n"/>
      <c r="M28" s="77">
        <f>22*L28/F28</f>
        <v/>
      </c>
      <c r="N28" s="78" t="n"/>
      <c r="O28" s="78" t="n"/>
      <c r="P28" s="78" t="n"/>
    </row>
    <row r="29" ht="30" customHeight="1" s="80">
      <c r="A29" s="155" t="inlineStr">
        <is>
          <t>C4</t>
        </is>
      </c>
      <c r="B29" s="162" t="n"/>
      <c r="C29" s="162" t="n"/>
      <c r="D29" s="156">
        <f>C29*0.66*1</f>
        <v/>
      </c>
      <c r="E29" s="157" t="n">
        <v>107.69</v>
      </c>
      <c r="F29" s="157">
        <f>D29</f>
        <v/>
      </c>
      <c r="G29" s="155">
        <f>F29/B29</f>
        <v/>
      </c>
      <c r="H29" s="155" t="inlineStr">
        <is>
          <t>有参转录组（RNA-seq）</t>
        </is>
      </c>
      <c r="I29" s="157" t="inlineStr">
        <is>
          <t>广州奥智生物科技有限公司</t>
        </is>
      </c>
      <c r="J29" s="155">
        <f>40-G29</f>
        <v/>
      </c>
      <c r="K29" s="162" t="n"/>
      <c r="L29" s="78" t="n"/>
      <c r="M29" s="77">
        <f>22*L29/F29</f>
        <v/>
      </c>
      <c r="N29" s="78" t="n"/>
      <c r="O29" s="78" t="n"/>
      <c r="P29" s="78" t="n"/>
    </row>
    <row r="30" ht="30" customHeight="1" s="80">
      <c r="A30" s="155" t="inlineStr">
        <is>
          <t>C5</t>
        </is>
      </c>
      <c r="B30" s="162" t="n"/>
      <c r="C30" s="162" t="n"/>
      <c r="D30" s="156">
        <f>C30*0.66*1</f>
        <v/>
      </c>
      <c r="E30" s="157" t="n">
        <v>370</v>
      </c>
      <c r="F30" s="157">
        <f>D30</f>
        <v/>
      </c>
      <c r="G30" s="155">
        <f>F30/B30</f>
        <v/>
      </c>
      <c r="H30" s="155" t="inlineStr">
        <is>
          <t>有参转录组（RNA-seq）</t>
        </is>
      </c>
      <c r="I30" s="157" t="inlineStr">
        <is>
          <t>广州奥智生物科技有限公司</t>
        </is>
      </c>
      <c r="J30" s="155">
        <f>40-G30</f>
        <v/>
      </c>
      <c r="K30" s="162" t="n"/>
      <c r="L30" s="78" t="n"/>
      <c r="M30" s="77">
        <f>22*L30/F30</f>
        <v/>
      </c>
      <c r="N30" s="78" t="n"/>
      <c r="O30" s="78" t="n"/>
      <c r="P30" s="78" t="n"/>
    </row>
    <row r="31" ht="30" customHeight="1" s="80">
      <c r="A31" s="155" t="inlineStr">
        <is>
          <t>C6</t>
        </is>
      </c>
      <c r="B31" s="162" t="n"/>
      <c r="C31" s="162" t="n"/>
      <c r="D31" s="156">
        <f>C31*0.66*1</f>
        <v/>
      </c>
      <c r="E31" s="157" t="n">
        <v>5</v>
      </c>
      <c r="F31" s="157">
        <f>D31</f>
        <v/>
      </c>
      <c r="G31" s="155">
        <f>F31/B31</f>
        <v/>
      </c>
      <c r="H31" s="155" t="inlineStr">
        <is>
          <t>有参转录组（RNA-seq）</t>
        </is>
      </c>
      <c r="I31" s="157" t="inlineStr">
        <is>
          <t>广州基迪奥科技服务有限公司</t>
        </is>
      </c>
      <c r="J31" s="155">
        <f>40-G31</f>
        <v/>
      </c>
      <c r="K31" s="162" t="n"/>
      <c r="L31" s="78" t="n"/>
      <c r="M31" s="77">
        <f>22*L31/F31</f>
        <v/>
      </c>
      <c r="N31" s="78" t="n"/>
      <c r="O31" s="78" t="n"/>
      <c r="P31" s="78" t="n"/>
    </row>
    <row r="32" ht="30" customHeight="1" s="80">
      <c r="A32" s="155" t="inlineStr">
        <is>
          <t>C7</t>
        </is>
      </c>
      <c r="B32" s="162" t="n"/>
      <c r="C32" s="162" t="n"/>
      <c r="D32" s="156">
        <f>C32*0.66*1</f>
        <v/>
      </c>
      <c r="E32" s="157" t="n">
        <v>6</v>
      </c>
      <c r="F32" s="157">
        <f>D32</f>
        <v/>
      </c>
      <c r="G32" s="155">
        <f>F32/B32</f>
        <v/>
      </c>
      <c r="H32" s="155" t="inlineStr">
        <is>
          <t>重测序</t>
        </is>
      </c>
      <c r="I32" s="157" t="inlineStr">
        <is>
          <t>广州基迪奥科技服务有限公司</t>
        </is>
      </c>
      <c r="J32" s="155">
        <f>40-G32</f>
        <v/>
      </c>
      <c r="K32" s="162" t="n"/>
      <c r="L32" s="78" t="n"/>
      <c r="M32" s="77">
        <f>22*L32/F32</f>
        <v/>
      </c>
      <c r="N32" s="78" t="n"/>
      <c r="O32" s="78" t="n"/>
      <c r="P32" s="78" t="n"/>
    </row>
    <row r="33" ht="30" customHeight="1" s="80">
      <c r="A33" s="155" t="inlineStr">
        <is>
          <t>C8</t>
        </is>
      </c>
      <c r="B33" s="162" t="n"/>
      <c r="C33" s="162" t="n"/>
      <c r="D33" s="156">
        <f>C33*0.66*1</f>
        <v/>
      </c>
      <c r="E33" s="157" t="n">
        <v>100</v>
      </c>
      <c r="F33" s="157">
        <f>D33</f>
        <v/>
      </c>
      <c r="G33" s="155">
        <f>F33/B33</f>
        <v/>
      </c>
      <c r="H33" s="155" t="inlineStr">
        <is>
          <t>singleron-3'转录组文库</t>
        </is>
      </c>
      <c r="I33" s="157" t="inlineStr">
        <is>
          <t>南京通元医学检验实验室有限公司</t>
        </is>
      </c>
      <c r="J33" s="155">
        <f>40-G33</f>
        <v/>
      </c>
      <c r="K33" s="162" t="n"/>
      <c r="L33" s="78" t="n"/>
      <c r="M33" s="77">
        <f>22*L33/F33</f>
        <v/>
      </c>
      <c r="N33" s="78" t="n"/>
      <c r="O33" s="78" t="n"/>
      <c r="P33" s="78" t="n"/>
    </row>
    <row r="34" ht="30" customHeight="1" s="80">
      <c r="A34" s="155" t="inlineStr">
        <is>
          <t>C9</t>
        </is>
      </c>
      <c r="B34" s="162" t="n"/>
      <c r="C34" s="162" t="n"/>
      <c r="D34" s="156">
        <f>C34*0.66*1</f>
        <v/>
      </c>
      <c r="E34" s="157" t="n">
        <v>100</v>
      </c>
      <c r="F34" s="157">
        <f>D34</f>
        <v/>
      </c>
      <c r="G34" s="155">
        <f>F34/B34</f>
        <v/>
      </c>
      <c r="H34" s="155" t="inlineStr">
        <is>
          <t>singleron-空转文库</t>
        </is>
      </c>
      <c r="I34" s="157" t="inlineStr">
        <is>
          <t>南京通元医学检验实验室有限公司</t>
        </is>
      </c>
      <c r="J34" s="155">
        <f>40-G34</f>
        <v/>
      </c>
      <c r="K34" s="162" t="n"/>
      <c r="L34" s="78" t="n"/>
      <c r="M34" s="77">
        <f>22*L34/F34</f>
        <v/>
      </c>
      <c r="N34" s="78" t="n"/>
      <c r="O34" s="78" t="n"/>
      <c r="P34" s="78" t="n"/>
    </row>
    <row r="35" ht="30" customHeight="1" s="80">
      <c r="A35" s="155" t="inlineStr">
        <is>
          <t>C10</t>
        </is>
      </c>
      <c r="B35" s="162" t="n"/>
      <c r="C35" s="162" t="n"/>
      <c r="D35" s="156">
        <f>C35*0.66*1</f>
        <v/>
      </c>
      <c r="E35" s="157" t="n">
        <v>400</v>
      </c>
      <c r="F35" s="157">
        <f>D35</f>
        <v/>
      </c>
      <c r="G35" s="155">
        <f>F35/B35</f>
        <v/>
      </c>
      <c r="H35" s="155" t="inlineStr">
        <is>
          <t>10x 5'单细胞</t>
        </is>
      </c>
      <c r="I35" s="157" t="inlineStr">
        <is>
          <t>江西烈冰生物科技有限公司</t>
        </is>
      </c>
      <c r="J35" s="155">
        <f>40-G35</f>
        <v/>
      </c>
      <c r="K35" s="162" t="n"/>
      <c r="L35" s="78" t="n"/>
      <c r="M35" s="77">
        <f>22*L35/F35</f>
        <v/>
      </c>
      <c r="N35" s="78" t="n"/>
      <c r="O35" s="78" t="n"/>
      <c r="P35" s="78" t="n"/>
    </row>
    <row r="36" ht="30" customHeight="1" s="80">
      <c r="A36" s="155" t="inlineStr">
        <is>
          <t>C11</t>
        </is>
      </c>
      <c r="B36" s="162" t="n"/>
      <c r="C36" s="162" t="n"/>
      <c r="D36" s="156">
        <f>C36*0.66*1</f>
        <v/>
      </c>
      <c r="E36" s="157" t="n">
        <v>36</v>
      </c>
      <c r="F36" s="157">
        <f>D36</f>
        <v/>
      </c>
      <c r="G36" s="155">
        <f>F36/B36</f>
        <v/>
      </c>
      <c r="H36" s="155" t="inlineStr">
        <is>
          <t>mRNA</t>
        </is>
      </c>
      <c r="I36" s="157" t="inlineStr">
        <is>
          <t>江西烈冰生物科技有限公司</t>
        </is>
      </c>
      <c r="J36" s="155">
        <f>40-G36</f>
        <v/>
      </c>
      <c r="K36" s="162" t="n"/>
      <c r="L36" s="78" t="n"/>
      <c r="M36" s="77">
        <f>22*L36/F36</f>
        <v/>
      </c>
      <c r="N36" s="78" t="n"/>
      <c r="O36" s="78" t="n"/>
      <c r="P36" s="78" t="n"/>
    </row>
    <row r="37" ht="30" customHeight="1" s="80">
      <c r="A37" s="155" t="inlineStr">
        <is>
          <t>C12</t>
        </is>
      </c>
      <c r="B37" s="162" t="n"/>
      <c r="C37" s="162" t="n"/>
      <c r="D37" s="156">
        <f>C37*0.66*1</f>
        <v/>
      </c>
      <c r="E37" s="157" t="n">
        <v>60</v>
      </c>
      <c r="F37" s="157">
        <f>D37</f>
        <v/>
      </c>
      <c r="G37" s="155">
        <f>F37/B37</f>
        <v/>
      </c>
      <c r="H37" s="155" t="inlineStr">
        <is>
          <t>HIC</t>
        </is>
      </c>
      <c r="I37" s="157" t="inlineStr">
        <is>
          <t>深圳湾实验室</t>
        </is>
      </c>
      <c r="J37" s="155">
        <f>40-G37</f>
        <v/>
      </c>
      <c r="K37" s="162" t="n"/>
      <c r="L37" s="78" t="n"/>
      <c r="M37" s="77">
        <f>22*L37/F37</f>
        <v/>
      </c>
      <c r="N37" s="78" t="n"/>
      <c r="O37" s="78" t="n"/>
      <c r="P37" s="78" t="n"/>
    </row>
    <row r="38" ht="30" customHeight="1" s="80">
      <c r="A38" s="155" t="inlineStr">
        <is>
          <t>C13</t>
        </is>
      </c>
      <c r="B38" s="162" t="n"/>
      <c r="C38" s="162" t="n"/>
      <c r="D38" s="156">
        <f>C38*0.66*1</f>
        <v/>
      </c>
      <c r="E38" s="157" t="n">
        <v>40</v>
      </c>
      <c r="F38" s="157">
        <f>D38</f>
        <v/>
      </c>
      <c r="G38" s="155">
        <f>F38/B38</f>
        <v/>
      </c>
      <c r="H38" s="155" t="inlineStr">
        <is>
          <t>WGBS</t>
        </is>
      </c>
      <c r="I38" s="157" t="inlineStr">
        <is>
          <t>深圳湾实验室</t>
        </is>
      </c>
      <c r="J38" s="155">
        <f>40-G38</f>
        <v/>
      </c>
      <c r="K38" s="162" t="n"/>
      <c r="L38" s="78" t="n"/>
      <c r="M38" s="77">
        <f>22*L38/F38</f>
        <v/>
      </c>
      <c r="N38" s="78" t="n"/>
      <c r="O38" s="78" t="n"/>
      <c r="P38" s="78" t="n"/>
    </row>
    <row r="39" ht="30" customHeight="1" s="80">
      <c r="A39" s="155" t="inlineStr">
        <is>
          <t>C14</t>
        </is>
      </c>
      <c r="B39" s="162" t="n"/>
      <c r="C39" s="162" t="n"/>
      <c r="D39" s="156">
        <f>C39*0.66*1</f>
        <v/>
      </c>
      <c r="E39" s="157" t="n">
        <v>20</v>
      </c>
      <c r="F39" s="157">
        <f>D39</f>
        <v/>
      </c>
      <c r="G39" s="155">
        <f>F39/B39</f>
        <v/>
      </c>
      <c r="H39" s="155" t="inlineStr">
        <is>
          <t>WGBS</t>
        </is>
      </c>
      <c r="I39" s="157" t="inlineStr">
        <is>
          <t>深圳湾实验室</t>
        </is>
      </c>
      <c r="J39" s="155">
        <f>40-G39</f>
        <v/>
      </c>
      <c r="K39" s="162" t="n"/>
      <c r="L39" s="78" t="n"/>
      <c r="M39" s="77">
        <f>22*L39/F39</f>
        <v/>
      </c>
      <c r="N39" s="78" t="n"/>
      <c r="O39" s="78" t="n"/>
      <c r="P39" s="78" t="n"/>
    </row>
    <row r="40" ht="30" customHeight="1" s="80">
      <c r="A40" s="155" t="inlineStr">
        <is>
          <t>C15</t>
        </is>
      </c>
      <c r="B40" s="162" t="n"/>
      <c r="C40" s="162" t="n"/>
      <c r="D40" s="156">
        <f>C40*0.66*1</f>
        <v/>
      </c>
      <c r="E40" s="157" t="n">
        <v>16</v>
      </c>
      <c r="F40" s="157">
        <f>D40</f>
        <v/>
      </c>
      <c r="G40" s="155">
        <f>F40/B40</f>
        <v/>
      </c>
      <c r="H40" s="155" t="inlineStr">
        <is>
          <t>华大-C4-oligo</t>
        </is>
      </c>
      <c r="I40" s="157" t="inlineStr">
        <is>
          <t>广州奥智生物科技有限公司</t>
        </is>
      </c>
      <c r="J40" s="155">
        <f>40-G40</f>
        <v/>
      </c>
      <c r="K40" s="162" t="n"/>
      <c r="L40" s="78" t="n"/>
      <c r="M40" s="77">
        <f>22*L40/F40</f>
        <v/>
      </c>
      <c r="N40" s="78" t="n"/>
      <c r="O40" s="78" t="n"/>
      <c r="P40" s="78" t="n"/>
    </row>
    <row r="41" ht="30" customHeight="1" s="80">
      <c r="A41" s="155" t="inlineStr">
        <is>
          <t>C16</t>
        </is>
      </c>
      <c r="B41" s="162" t="n"/>
      <c r="C41" s="162" t="n"/>
      <c r="D41" s="156">
        <f>C41*0.66*1</f>
        <v/>
      </c>
      <c r="E41" s="157" t="n">
        <v>1040</v>
      </c>
      <c r="F41" s="157">
        <f>D41</f>
        <v/>
      </c>
      <c r="G41" s="155">
        <f>F41/B41</f>
        <v/>
      </c>
      <c r="H41" s="155" t="inlineStr">
        <is>
          <t>华大-C4-转录组</t>
        </is>
      </c>
      <c r="I41" s="157" t="inlineStr">
        <is>
          <t>广州奥智生物科技有限公司</t>
        </is>
      </c>
      <c r="J41" s="155">
        <f>40-G41</f>
        <v/>
      </c>
      <c r="K41" s="162" t="n"/>
      <c r="L41" s="78" t="n"/>
      <c r="M41" s="77">
        <f>22*L41/F41</f>
        <v/>
      </c>
      <c r="N41" s="78" t="n"/>
      <c r="O41" s="78" t="n"/>
      <c r="P41" s="78" t="n"/>
    </row>
    <row r="42" ht="30" customHeight="1" s="80">
      <c r="A42" s="155" t="inlineStr">
        <is>
          <t>C17</t>
        </is>
      </c>
      <c r="B42" s="162" t="n"/>
      <c r="C42" s="162" t="n"/>
      <c r="D42" s="156">
        <f>C42*0.66*1</f>
        <v/>
      </c>
      <c r="E42" s="157" t="n">
        <v>41.64</v>
      </c>
      <c r="F42" s="157">
        <f>D42</f>
        <v/>
      </c>
      <c r="G42" s="155">
        <f>F42/B42</f>
        <v/>
      </c>
      <c r="H42" s="155" t="inlineStr">
        <is>
          <t>华大-C4-转录组</t>
        </is>
      </c>
      <c r="I42" s="157" t="inlineStr">
        <is>
          <t>广州奥智生物科技有限公司</t>
        </is>
      </c>
      <c r="J42" s="155">
        <f>40-G42</f>
        <v/>
      </c>
      <c r="K42" s="162" t="n"/>
      <c r="L42" s="78" t="n"/>
      <c r="M42" s="77">
        <f>22*L42/F42</f>
        <v/>
      </c>
      <c r="N42" s="78" t="n"/>
      <c r="O42" s="78" t="n"/>
      <c r="P42" s="78" t="n"/>
    </row>
    <row r="43" ht="30" customHeight="1" s="80">
      <c r="A43" s="155" t="inlineStr">
        <is>
          <t>C18</t>
        </is>
      </c>
      <c r="B43" s="162" t="n"/>
      <c r="C43" s="162" t="n"/>
      <c r="D43" s="156">
        <f>C43*0.66*1</f>
        <v/>
      </c>
      <c r="E43" s="157" t="n">
        <v>690.17</v>
      </c>
      <c r="F43" s="157">
        <f>D43</f>
        <v/>
      </c>
      <c r="G43" s="155">
        <f>F43/B43</f>
        <v/>
      </c>
      <c r="H43" s="155" t="inlineStr">
        <is>
          <t>华大-C4-转录组</t>
        </is>
      </c>
      <c r="I43" s="157" t="inlineStr">
        <is>
          <t>广州奥智生物科技有限公司</t>
        </is>
      </c>
      <c r="J43" s="155">
        <f>40-G43</f>
        <v/>
      </c>
      <c r="K43" s="162" t="n"/>
      <c r="L43" s="78" t="n"/>
      <c r="M43" s="77">
        <f>22*L43/F43</f>
        <v/>
      </c>
      <c r="N43" s="78" t="n"/>
      <c r="O43" s="78" t="n"/>
      <c r="P43" s="78" t="n"/>
    </row>
    <row r="44" ht="30" customHeight="1" s="80">
      <c r="A44" s="155" t="inlineStr">
        <is>
          <t>C19</t>
        </is>
      </c>
      <c r="B44" s="162" t="n"/>
      <c r="C44" s="162" t="n"/>
      <c r="D44" s="156">
        <f>C44*0.66*1</f>
        <v/>
      </c>
      <c r="E44" s="157" t="n">
        <v>8</v>
      </c>
      <c r="F44" s="157">
        <f>D44</f>
        <v/>
      </c>
      <c r="G44" s="155">
        <f>F44/B44</f>
        <v/>
      </c>
      <c r="H44" s="155" t="inlineStr">
        <is>
          <t>WGS</t>
        </is>
      </c>
      <c r="I44" s="157" t="inlineStr">
        <is>
          <t>南京鼓楼医院</t>
        </is>
      </c>
      <c r="J44" s="155">
        <f>40-G44</f>
        <v/>
      </c>
      <c r="K44" s="162" t="n"/>
      <c r="L44" s="78" t="n"/>
      <c r="M44" s="77">
        <f>22*L44/F44</f>
        <v/>
      </c>
      <c r="N44" s="78" t="n"/>
      <c r="O44" s="78" t="n"/>
      <c r="P44" s="78" t="n"/>
    </row>
    <row r="45" ht="30" customHeight="1" s="80">
      <c r="A45" s="155" t="inlineStr">
        <is>
          <t>C20</t>
        </is>
      </c>
      <c r="B45" s="162" t="n"/>
      <c r="C45" s="162" t="n"/>
      <c r="D45" s="156">
        <f>C45*0.66*1</f>
        <v/>
      </c>
      <c r="E45" s="157" t="n">
        <v>40</v>
      </c>
      <c r="F45" s="157">
        <f>D45</f>
        <v/>
      </c>
      <c r="G45" s="155">
        <f>F45/B45</f>
        <v/>
      </c>
      <c r="H45" s="155" t="inlineStr">
        <is>
          <t>华大C4-cDNA</t>
        </is>
      </c>
      <c r="I45" s="157" t="inlineStr">
        <is>
          <t>广州世益科技有限公司</t>
        </is>
      </c>
      <c r="J45" s="155">
        <f>40-G45</f>
        <v/>
      </c>
      <c r="K45" s="162" t="n"/>
      <c r="L45" s="78" t="n"/>
      <c r="M45" s="77">
        <f>22*L45/F45</f>
        <v/>
      </c>
      <c r="N45" s="78" t="n"/>
      <c r="O45" s="78" t="n"/>
      <c r="P45" s="78" t="n"/>
    </row>
    <row r="46" ht="30" customHeight="1" s="80">
      <c r="A46" s="155" t="inlineStr">
        <is>
          <t>C21</t>
        </is>
      </c>
      <c r="B46" s="162" t="n"/>
      <c r="C46" s="162" t="n"/>
      <c r="D46" s="156">
        <f>C46*0.66*1</f>
        <v/>
      </c>
      <c r="E46" s="157" t="n">
        <v>90</v>
      </c>
      <c r="F46" s="157">
        <f>D46</f>
        <v/>
      </c>
      <c r="G46" s="155">
        <f>F46/B46</f>
        <v/>
      </c>
      <c r="H46" s="155" t="inlineStr">
        <is>
          <t>基因组文库</t>
        </is>
      </c>
      <c r="I46" s="157" t="inlineStr">
        <is>
          <t>武汉百易汇能生物科技有限公司</t>
        </is>
      </c>
      <c r="J46" s="155">
        <f>40-G46</f>
        <v/>
      </c>
      <c r="K46" s="162" t="n"/>
      <c r="L46" s="78" t="n"/>
      <c r="M46" s="77">
        <f>22*L46/F46</f>
        <v/>
      </c>
      <c r="N46" s="78" t="n"/>
      <c r="O46" s="78" t="n"/>
      <c r="P46" s="78" t="n"/>
    </row>
    <row r="47" ht="30" customHeight="1" s="80">
      <c r="A47" s="155" t="inlineStr">
        <is>
          <t>C22</t>
        </is>
      </c>
      <c r="B47" s="162" t="n"/>
      <c r="C47" s="162" t="n"/>
      <c r="D47" s="156">
        <f>C47*0.66*1</f>
        <v/>
      </c>
      <c r="E47" s="157" t="n">
        <v>150</v>
      </c>
      <c r="F47" s="157">
        <f>D47</f>
        <v/>
      </c>
      <c r="G47" s="155">
        <f>F47/B47</f>
        <v/>
      </c>
      <c r="H47" s="155" t="inlineStr">
        <is>
          <t>基因组文库</t>
        </is>
      </c>
      <c r="I47" s="157" t="inlineStr">
        <is>
          <t>武汉百易汇能生物科技有限公司</t>
        </is>
      </c>
      <c r="J47" s="155">
        <f>40-G47</f>
        <v/>
      </c>
      <c r="K47" s="162" t="n"/>
      <c r="L47" s="78" t="n"/>
      <c r="M47" s="77">
        <f>22*L47/F47</f>
        <v/>
      </c>
      <c r="N47" s="78" t="n"/>
      <c r="O47" s="78" t="n"/>
      <c r="P47" s="78" t="n"/>
    </row>
    <row r="48" ht="30" customHeight="1" s="80">
      <c r="A48" s="155" t="inlineStr">
        <is>
          <t>C23</t>
        </is>
      </c>
      <c r="B48" s="162" t="n"/>
      <c r="C48" s="162" t="n"/>
      <c r="D48" s="156">
        <f>C48*0.66*1</f>
        <v/>
      </c>
      <c r="E48" s="157" t="n">
        <v>54</v>
      </c>
      <c r="F48" s="157">
        <f>D48</f>
        <v/>
      </c>
      <c r="G48" s="155">
        <f>F48/B48</f>
        <v/>
      </c>
      <c r="H48" s="155" t="inlineStr">
        <is>
          <t>转录组文库</t>
        </is>
      </c>
      <c r="I48" s="157" t="inlineStr">
        <is>
          <t>武汉百易汇能生物科技有限公司</t>
        </is>
      </c>
      <c r="J48" s="155">
        <f>40-G48</f>
        <v/>
      </c>
      <c r="K48" s="162" t="n"/>
      <c r="L48" s="78" t="n"/>
      <c r="M48" s="77">
        <f>22*L48/F48</f>
        <v/>
      </c>
      <c r="N48" s="78" t="n"/>
      <c r="O48" s="78" t="n"/>
      <c r="P48" s="78" t="n"/>
    </row>
    <row r="49" ht="30" customHeight="1" s="80">
      <c r="A49" s="155" t="inlineStr">
        <is>
          <t>C24</t>
        </is>
      </c>
      <c r="B49" s="162" t="n"/>
      <c r="C49" s="162" t="n"/>
      <c r="D49" s="156">
        <f>C49*0.66*1</f>
        <v/>
      </c>
      <c r="E49" s="157" t="n">
        <v>30</v>
      </c>
      <c r="F49" s="157">
        <f>D49</f>
        <v/>
      </c>
      <c r="G49" s="155">
        <f>F49/B49</f>
        <v/>
      </c>
      <c r="H49" s="155" t="inlineStr">
        <is>
          <t>华大C4-BCR</t>
        </is>
      </c>
      <c r="I49" s="157" t="inlineStr">
        <is>
          <t>江苏省肿瘤防治研究所（江苏省肿瘤医院）</t>
        </is>
      </c>
      <c r="J49" s="155">
        <f>40-G49</f>
        <v/>
      </c>
      <c r="K49" s="162" t="n"/>
      <c r="L49" s="78" t="n"/>
      <c r="M49" s="77">
        <f>22*L49/F49</f>
        <v/>
      </c>
      <c r="N49" s="78" t="n"/>
      <c r="O49" s="78" t="n"/>
      <c r="P49" s="78" t="n"/>
    </row>
    <row r="50" ht="30" customHeight="1" s="80">
      <c r="A50" s="155" t="inlineStr">
        <is>
          <t>C25</t>
        </is>
      </c>
      <c r="B50" s="162" t="n"/>
      <c r="C50" s="162" t="n"/>
      <c r="D50" s="156">
        <f>C50*0.66*1</f>
        <v/>
      </c>
      <c r="E50" s="157" t="n">
        <v>15</v>
      </c>
      <c r="F50" s="157">
        <f>D50</f>
        <v/>
      </c>
      <c r="G50" s="155">
        <f>F50/B50</f>
        <v/>
      </c>
      <c r="H50" s="155" t="inlineStr">
        <is>
          <t>华大C4-TCR</t>
        </is>
      </c>
      <c r="I50" s="157" t="inlineStr">
        <is>
          <t>江苏省肿瘤防治研究所（江苏省肿瘤医院）</t>
        </is>
      </c>
      <c r="J50" s="155">
        <f>40-G50</f>
        <v/>
      </c>
      <c r="K50" s="162" t="n"/>
      <c r="L50" s="78" t="n"/>
      <c r="M50" s="77">
        <f>22*L50/F50</f>
        <v/>
      </c>
      <c r="N50" s="78" t="n"/>
      <c r="O50" s="78" t="n"/>
      <c r="P50" s="78" t="n"/>
    </row>
    <row r="51" ht="30" customHeight="1" s="80">
      <c r="A51" s="155" t="inlineStr">
        <is>
          <t>C26</t>
        </is>
      </c>
      <c r="B51" s="162" t="n"/>
      <c r="C51" s="162" t="n"/>
      <c r="D51" s="156">
        <f>C51*0.66*1</f>
        <v/>
      </c>
      <c r="E51" s="157" t="n">
        <v>40</v>
      </c>
      <c r="F51" s="157">
        <f>D51</f>
        <v/>
      </c>
      <c r="G51" s="155">
        <f>F51/B51</f>
        <v/>
      </c>
      <c r="H51" s="155" t="inlineStr">
        <is>
          <t>华大C4-oligo</t>
        </is>
      </c>
      <c r="I51" s="157" t="inlineStr">
        <is>
          <t>深圳湾实验室</t>
        </is>
      </c>
      <c r="J51" s="155">
        <f>40-G51</f>
        <v/>
      </c>
      <c r="K51" s="162" t="n"/>
      <c r="L51" s="78" t="n"/>
      <c r="M51" s="77">
        <f>22*L51/F51</f>
        <v/>
      </c>
      <c r="N51" s="78" t="n"/>
      <c r="O51" s="78" t="n"/>
      <c r="P51" s="78" t="n"/>
    </row>
    <row r="52" ht="30" customHeight="1" s="80">
      <c r="A52" s="155" t="inlineStr">
        <is>
          <t>C27</t>
        </is>
      </c>
      <c r="B52" s="162" t="n"/>
      <c r="C52" s="162" t="n"/>
      <c r="D52" s="156">
        <f>C52*0.66*1</f>
        <v/>
      </c>
      <c r="E52" s="157" t="n">
        <v>20</v>
      </c>
      <c r="F52" s="157">
        <f>D52</f>
        <v/>
      </c>
      <c r="G52" s="155">
        <f>F52/B52</f>
        <v/>
      </c>
      <c r="H52" s="155" t="inlineStr">
        <is>
          <t>华大C4-cDNA</t>
        </is>
      </c>
      <c r="I52" s="157" t="inlineStr">
        <is>
          <t>广州世益科技有限公司</t>
        </is>
      </c>
      <c r="J52" s="155">
        <f>40-G52</f>
        <v/>
      </c>
      <c r="K52" s="162" t="n"/>
      <c r="L52" s="78" t="n"/>
      <c r="M52" s="77">
        <f>22*L52/F52</f>
        <v/>
      </c>
      <c r="N52" s="78" t="n"/>
      <c r="O52" s="78" t="n"/>
      <c r="P52" s="78" t="n"/>
    </row>
    <row r="53" ht="30" customHeight="1" s="80">
      <c r="A53" s="155" t="inlineStr">
        <is>
          <t>C28</t>
        </is>
      </c>
      <c r="B53" s="162" t="n"/>
      <c r="C53" s="162" t="n"/>
      <c r="D53" s="156">
        <f>C53*0.66*1</f>
        <v/>
      </c>
      <c r="E53" s="157" t="n">
        <v>25</v>
      </c>
      <c r="F53" s="157">
        <f>D53</f>
        <v/>
      </c>
      <c r="G53" s="155">
        <f>F53/B53</f>
        <v/>
      </c>
      <c r="H53" s="155" t="inlineStr">
        <is>
          <t>mRNA</t>
        </is>
      </c>
      <c r="I53" s="157" t="inlineStr">
        <is>
          <t>武汉瑞兴生物科技有限公司</t>
        </is>
      </c>
      <c r="J53" s="155">
        <f>40-G53</f>
        <v/>
      </c>
      <c r="K53" s="162" t="n"/>
      <c r="L53" s="78" t="n"/>
      <c r="M53" s="77">
        <f>22*L53/F53</f>
        <v/>
      </c>
      <c r="N53" s="78" t="n"/>
      <c r="O53" s="78" t="n"/>
      <c r="P53" s="78" t="n"/>
    </row>
    <row r="54" ht="30" customHeight="1" s="80">
      <c r="A54" s="155" t="inlineStr">
        <is>
          <t>C29</t>
        </is>
      </c>
      <c r="B54" s="162" t="n"/>
      <c r="C54" s="162" t="n"/>
      <c r="D54" s="156">
        <f>C54*0.66*1</f>
        <v/>
      </c>
      <c r="E54" s="157" t="n">
        <v>16</v>
      </c>
      <c r="F54" s="157">
        <f>D54</f>
        <v/>
      </c>
      <c r="G54" s="155">
        <f>F54/B54</f>
        <v/>
      </c>
      <c r="H54" s="155" t="inlineStr">
        <is>
          <t>华大C4-oligo</t>
        </is>
      </c>
      <c r="I54" s="157" t="inlineStr">
        <is>
          <t>武汉瑞兴生物科技有限公司</t>
        </is>
      </c>
      <c r="J54" s="155">
        <f>40-G54</f>
        <v/>
      </c>
      <c r="K54" s="162" t="n"/>
      <c r="L54" s="78" t="n"/>
      <c r="M54" s="77">
        <f>22*L54/F54</f>
        <v/>
      </c>
      <c r="N54" s="78" t="n"/>
      <c r="O54" s="78" t="n"/>
      <c r="P54" s="78" t="n"/>
    </row>
    <row r="55" ht="30" customHeight="1" s="80"/>
    <row r="56" ht="30" customFormat="1" customHeight="1" s="18"/>
    <row r="57" ht="30" customHeight="1" s="80"/>
    <row r="58" ht="30" customHeight="1" s="80"/>
    <row r="59" ht="30" customHeight="1" s="80"/>
    <row r="60" ht="18.75" customHeight="1" s="80"/>
    <row r="61" ht="18.75" customHeight="1" s="80"/>
    <row r="62" ht="18.75" customHeight="1" s="80"/>
    <row r="63" ht="18.75" customHeight="1" s="80"/>
    <row r="64" ht="18.75" customHeight="1" s="80"/>
    <row r="65" ht="18.75" customHeight="1" s="80"/>
    <row r="66" ht="18.75" customHeight="1" s="80"/>
    <row r="67" ht="18.75" customHeight="1" s="80"/>
    <row r="68" ht="18.75" customHeight="1" s="80"/>
    <row r="69" ht="18.75" customHeight="1" s="80"/>
    <row r="70" ht="18.75" customHeight="1" s="80"/>
    <row r="71" ht="18.75" customHeight="1" s="80"/>
    <row r="72" ht="18.75" customHeight="1" s="80"/>
    <row r="73" ht="18.75" customHeight="1" s="80"/>
    <row r="74" ht="18.75" customHeight="1" s="80"/>
    <row r="75" ht="18.75" customHeight="1" s="80"/>
    <row r="32186" ht="20.1" customFormat="1" customHeight="1" s="107"/>
  </sheetData>
  <conditionalFormatting sqref="A1 B57:B1048576">
    <cfRule type="duplicateValues" priority="18" dxfId="0"/>
  </conditionalFormatting>
  <conditionalFormatting sqref="A57:A1048576">
    <cfRule type="duplicateValues" priority="16" dxfId="0"/>
  </conditionalFormatting>
  <conditionalFormatting sqref="G1 G57:G1048576">
    <cfRule type="cellIs" priority="17" operator="greaterThan" dxfId="0">
      <formula>48</formula>
    </cfRule>
  </conditionalFormatting>
  <conditionalFormatting sqref="L1 M57:M1048576">
    <cfRule type="duplicateValues" priority="19" dxfId="0"/>
  </conditionalFormatting>
  <conditionalFormatting sqref="M1">
    <cfRule type="duplicateValues" priority="15" dxfId="0"/>
  </conditionalFormatting>
  <conditionalFormatting sqref="M1:M8 M57:M1048576">
    <cfRule type="cellIs" priority="14" operator="greaterThan" dxfId="0">
      <formula>0.2</formula>
    </cfRule>
  </conditionalFormatting>
  <conditionalFormatting sqref="M2:M8">
    <cfRule type="cellIs" priority="13" operator="lessThan" dxfId="93">
      <formula>0.12</formula>
    </cfRule>
  </conditionalFormatting>
  <conditionalFormatting sqref="M11:M26">
    <cfRule type="cellIs" priority="3" operator="lessThan" dxfId="93">
      <formula>0.12</formula>
    </cfRule>
    <cfRule type="cellIs" priority="4" operator="greaterThan" dxfId="0">
      <formula>0.2</formula>
    </cfRule>
  </conditionalFormatting>
  <conditionalFormatting sqref="M29:M55">
    <cfRule type="cellIs" priority="1" operator="lessThan" dxfId="93">
      <formula>0.12</formula>
    </cfRule>
    <cfRule type="cellIs" priority="2" operator="greaterThan" dxfId="0">
      <formula>0.2</formula>
    </cfRule>
  </conditionalFormatting>
  <printOptions horizontalCentered="1"/>
  <pageMargins left="0.75" right="0.75" top="0.98" bottom="0.98" header="0.51" footer="0.51"/>
  <pageSetup orientation="portrait" paperSize="9" scale="27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55"/>
  <sheetViews>
    <sheetView zoomScale="60" zoomScaleNormal="60" workbookViewId="0">
      <selection activeCell="K5" sqref="K5"/>
    </sheetView>
  </sheetViews>
  <sheetFormatPr baseColWidth="8" defaultColWidth="9" defaultRowHeight="30" customHeight="1"/>
  <cols>
    <col width="10" customWidth="1" style="4" min="1" max="1"/>
    <col width="17" customWidth="1" style="3" min="2" max="2"/>
    <col width="13" customWidth="1" style="4" min="3" max="3"/>
    <col width="20" customWidth="1" style="119" min="4" max="4"/>
    <col width="60" customWidth="1" style="120" min="5" max="5"/>
    <col width="25" customWidth="1" style="80" min="6" max="6"/>
    <col width="14" customWidth="1" style="119" min="7" max="7"/>
    <col width="17" customWidth="1" style="121" min="8" max="8"/>
    <col width="21" customWidth="1" style="122" min="9" max="9"/>
    <col width="12" customWidth="1" style="121" min="10" max="10"/>
    <col width="17" customWidth="1" style="122" min="11" max="11"/>
    <col width="16" customWidth="1" style="80" min="12" max="12"/>
    <col width="17" customWidth="1" style="120" min="13" max="13"/>
    <col width="27" customWidth="1" style="123" min="14" max="14"/>
    <col width="42" customWidth="1" style="123" min="15" max="15"/>
    <col width="14" customWidth="1" style="123" min="16" max="16"/>
    <col width="16" customWidth="1" style="121" min="17" max="17"/>
    <col width="4" customWidth="1" style="124" min="18" max="18"/>
    <col width="4" customWidth="1" style="125" min="19" max="19"/>
    <col width="12.25" customWidth="1" style="14" min="20" max="20"/>
    <col width="13.75" customWidth="1" style="14" min="21" max="21"/>
    <col width="17.625" customWidth="1" style="123" min="22" max="22"/>
    <col width="12.75" customWidth="1" style="126" min="23" max="23"/>
    <col width="10.875" customWidth="1" style="126" min="24" max="24"/>
    <col width="12.75" customWidth="1" style="4" min="25" max="25"/>
    <col width="9" customWidth="1" style="4" min="26" max="26"/>
    <col width="25.625" customWidth="1" style="4" min="27" max="27"/>
    <col width="12.625" customWidth="1" style="4" min="28" max="28"/>
    <col width="9" customWidth="1" style="4" min="29" max="33"/>
    <col width="9" customWidth="1" style="4" min="34" max="16384"/>
  </cols>
  <sheetData>
    <row r="1" ht="40" customHeight="1" s="80">
      <c r="A1" s="66" t="inlineStr">
        <is>
          <t>laneID</t>
        </is>
      </c>
      <c r="B1" s="127" t="inlineStr">
        <is>
          <t>文库ssDNA编号</t>
        </is>
      </c>
      <c r="C1" s="128" t="inlineStr">
        <is>
          <t>SSDNA浓度</t>
        </is>
      </c>
      <c r="D1" s="129" t="inlineStr">
        <is>
          <t>平均片段</t>
        </is>
      </c>
      <c r="E1" s="130" t="n"/>
      <c r="F1" s="131" t="inlineStr">
        <is>
          <t>150fmol对应质量（ng）</t>
        </is>
      </c>
      <c r="G1" s="132" t="inlineStr">
        <is>
          <t>投入摩尔数</t>
        </is>
      </c>
      <c r="H1" s="133" t="inlineStr">
        <is>
          <t>数据量（G)</t>
        </is>
      </c>
      <c r="I1" s="134" t="inlineStr">
        <is>
          <t>理论数据量占比</t>
        </is>
      </c>
      <c r="J1" s="135" t="inlineStr">
        <is>
          <t>调整比例</t>
        </is>
      </c>
      <c r="K1" s="136" t="n"/>
      <c r="L1" s="134" t="inlineStr">
        <is>
          <t>实际投入占比</t>
        </is>
      </c>
      <c r="M1" s="137" t="inlineStr">
        <is>
          <t>ssDNA取样体积</t>
        </is>
      </c>
      <c r="N1" s="138" t="inlineStr">
        <is>
          <t>文库类型</t>
        </is>
      </c>
      <c r="O1" s="138" t="inlineStr">
        <is>
          <t>客户单位</t>
        </is>
      </c>
      <c r="P1" s="139" t="inlineStr">
        <is>
          <t>TE补充体积</t>
        </is>
      </c>
      <c r="Q1" s="140" t="inlineStr">
        <is>
          <t>实际调整比例</t>
        </is>
      </c>
      <c r="R1" s="54" t="n"/>
      <c r="S1" s="141" t="n"/>
    </row>
    <row r="2" ht="30" customHeight="1" s="80">
      <c r="A2" s="155" t="inlineStr">
        <is>
          <t>0720A</t>
        </is>
      </c>
      <c r="B2" s="155" t="inlineStr">
        <is>
          <t>A1</t>
        </is>
      </c>
      <c r="C2" s="162" t="n"/>
      <c r="D2" s="163" t="n"/>
      <c r="E2" s="157">
        <f>IF(ABS(D2-D9)&lt;=100,"正常",IF(D2&gt;D9,"偏大"&amp;INT(D2-D9)&amp;"bp","偏小"&amp;INT(D9-D2)&amp;"bp"))</f>
        <v/>
      </c>
      <c r="F2" s="157">
        <f>D2*0.33*G2*0.001</f>
        <v/>
      </c>
      <c r="G2" s="155">
        <f>900*L2</f>
        <v/>
      </c>
      <c r="H2" s="155" t="n">
        <v>100</v>
      </c>
      <c r="I2" s="157">
        <f>ROUND(H2/H9,4)</f>
        <v/>
      </c>
      <c r="J2" s="162" t="n"/>
      <c r="K2" s="155">
        <f>I2*J2</f>
        <v/>
      </c>
      <c r="L2" s="155">
        <f>K2/K9</f>
        <v/>
      </c>
      <c r="M2" s="155">
        <f>F2/C2</f>
        <v/>
      </c>
      <c r="N2" s="155" t="inlineStr">
        <is>
          <t>MobiNova 单细胞3端文库</t>
        </is>
      </c>
      <c r="O2" s="155" t="inlineStr">
        <is>
          <t>广州承启生物科技有限公司</t>
        </is>
      </c>
      <c r="P2" s="162" t="n"/>
      <c r="Q2" s="155">
        <f>I2*J2</f>
        <v/>
      </c>
      <c r="R2" s="78" t="n"/>
      <c r="S2" s="78" t="n"/>
    </row>
    <row r="3" ht="30" customHeight="1" s="80">
      <c r="A3" s="155" t="inlineStr">
        <is>
          <t>0720A</t>
        </is>
      </c>
      <c r="B3" s="155" t="inlineStr">
        <is>
          <t>A2</t>
        </is>
      </c>
      <c r="C3" s="162" t="n"/>
      <c r="D3" s="163" t="n"/>
      <c r="E3" s="157">
        <f>IF(ABS(D3-D9)&lt;=100,"正常",IF(D3&gt;D9,"偏大"&amp;INT(D3-D9)&amp;"bp","偏小"&amp;INT(D9-D3)&amp;"bp"))</f>
        <v/>
      </c>
      <c r="F3" s="157">
        <f>D3*0.33*G3*0.001</f>
        <v/>
      </c>
      <c r="G3" s="155">
        <f>900*L3</f>
        <v/>
      </c>
      <c r="H3" s="155" t="n">
        <v>100</v>
      </c>
      <c r="I3" s="157">
        <f>ROUND(H3/H9,4)</f>
        <v/>
      </c>
      <c r="J3" s="162" t="n"/>
      <c r="K3" s="155">
        <f>I3*J3</f>
        <v/>
      </c>
      <c r="L3" s="155">
        <f>K3/K9</f>
        <v/>
      </c>
      <c r="M3" s="155">
        <f>F3/C3</f>
        <v/>
      </c>
      <c r="N3" s="155" t="inlineStr">
        <is>
          <t>墨卓单细胞3端转录组文库</t>
        </is>
      </c>
      <c r="O3" s="155" t="inlineStr">
        <is>
          <t>武汉百易汇能生物科技有限公司</t>
        </is>
      </c>
      <c r="P3" s="162" t="n"/>
      <c r="Q3" s="155">
        <f>I3*J3</f>
        <v/>
      </c>
      <c r="R3" s="78" t="n"/>
      <c r="S3" s="78" t="n"/>
    </row>
    <row r="4" ht="30" customHeight="1" s="80">
      <c r="A4" s="155" t="inlineStr">
        <is>
          <t>0720A</t>
        </is>
      </c>
      <c r="B4" s="155" t="inlineStr">
        <is>
          <t>A3</t>
        </is>
      </c>
      <c r="C4" s="162" t="n"/>
      <c r="D4" s="163" t="n"/>
      <c r="E4" s="157">
        <f>IF(ABS(D4-D9)&lt;=100,"正常",IF(D4&gt;D9,"偏大"&amp;INT(D4-D9)&amp;"bp","偏小"&amp;INT(D9-D4)&amp;"bp"))</f>
        <v/>
      </c>
      <c r="F4" s="157">
        <f>D4*0.33*G4*0.001</f>
        <v/>
      </c>
      <c r="G4" s="155">
        <f>900*L4</f>
        <v/>
      </c>
      <c r="H4" s="155" t="n">
        <v>700</v>
      </c>
      <c r="I4" s="157">
        <f>ROUND(H4/H9,4)</f>
        <v/>
      </c>
      <c r="J4" s="162" t="n"/>
      <c r="K4" s="155">
        <f>I4*J4</f>
        <v/>
      </c>
      <c r="L4" s="155">
        <f>K4/K9</f>
        <v/>
      </c>
      <c r="M4" s="155">
        <f>F4/C4</f>
        <v/>
      </c>
      <c r="N4" s="155" t="inlineStr">
        <is>
          <t>10x3′单细胞转录组</t>
        </is>
      </c>
      <c r="O4" s="155" t="inlineStr">
        <is>
          <t>江西烈冰生物科技有限公司</t>
        </is>
      </c>
      <c r="P4" s="162" t="n"/>
      <c r="Q4" s="155">
        <f>I4*J4</f>
        <v/>
      </c>
      <c r="R4" s="78" t="n"/>
      <c r="S4" s="78" t="n"/>
    </row>
    <row r="5" ht="30" customHeight="1" s="80">
      <c r="A5" s="155" t="inlineStr">
        <is>
          <t>0720A</t>
        </is>
      </c>
      <c r="B5" s="155" t="inlineStr">
        <is>
          <t>A4</t>
        </is>
      </c>
      <c r="C5" s="162" t="n"/>
      <c r="D5" s="163" t="n"/>
      <c r="E5" s="157">
        <f>IF(ABS(D5-D9)&lt;=100,"正常",IF(D5&gt;D9,"偏大"&amp;INT(D5-D9)&amp;"bp","偏小"&amp;INT(D9-D5)&amp;"bp"))</f>
        <v/>
      </c>
      <c r="F5" s="157">
        <f>D5*0.33*G5*0.001</f>
        <v/>
      </c>
      <c r="G5" s="155">
        <f>900*L5</f>
        <v/>
      </c>
      <c r="H5" s="155" t="n">
        <v>600</v>
      </c>
      <c r="I5" s="157">
        <f>ROUND(H5/H9,4)</f>
        <v/>
      </c>
      <c r="J5" s="162" t="n"/>
      <c r="K5" s="155">
        <f>I5*J5</f>
        <v/>
      </c>
      <c r="L5" s="155">
        <f>K5/K9</f>
        <v/>
      </c>
      <c r="M5" s="155">
        <f>F5/C5</f>
        <v/>
      </c>
      <c r="N5" s="155" t="inlineStr">
        <is>
          <t>10x3′单细胞转录组</t>
        </is>
      </c>
      <c r="O5" s="155" t="inlineStr">
        <is>
          <t>江西烈冰生物科技有限公司</t>
        </is>
      </c>
      <c r="P5" s="162" t="n"/>
      <c r="Q5" s="155">
        <f>I5*J5</f>
        <v/>
      </c>
      <c r="R5" s="78" t="n"/>
      <c r="S5" s="78" t="n"/>
    </row>
    <row r="6" ht="30" customHeight="1" s="80">
      <c r="A6" s="155" t="inlineStr">
        <is>
          <t>0720A</t>
        </is>
      </c>
      <c r="B6" s="155" t="inlineStr">
        <is>
          <t>A5</t>
        </is>
      </c>
      <c r="C6" s="162" t="n"/>
      <c r="D6" s="163" t="n"/>
      <c r="E6" s="157">
        <f>IF(ABS(D6-D9)&lt;=100,"正常",IF(D6&gt;D9,"偏大"&amp;INT(D6-D9)&amp;"bp","偏小"&amp;INT(D9-D6)&amp;"bp"))</f>
        <v/>
      </c>
      <c r="F6" s="157">
        <f>D6*0.33*G6*0.001</f>
        <v/>
      </c>
      <c r="G6" s="155">
        <f>900*L6</f>
        <v/>
      </c>
      <c r="H6" s="155" t="n">
        <v>750</v>
      </c>
      <c r="I6" s="157">
        <f>ROUND(H6/H9,4)</f>
        <v/>
      </c>
      <c r="J6" s="162" t="n"/>
      <c r="K6" s="155">
        <f>I6*J6</f>
        <v/>
      </c>
      <c r="L6" s="155">
        <f>K6/K9</f>
        <v/>
      </c>
      <c r="M6" s="155">
        <f>F6/C6</f>
        <v/>
      </c>
      <c r="N6" s="155" t="inlineStr">
        <is>
          <t>自建单细胞3`转录组文库</t>
        </is>
      </c>
      <c r="O6" s="155" t="inlineStr">
        <is>
          <t>深圳达普生物科技有限公司</t>
        </is>
      </c>
      <c r="P6" s="162" t="n"/>
      <c r="Q6" s="155">
        <f>I6*J6</f>
        <v/>
      </c>
      <c r="R6" s="78" t="n"/>
      <c r="S6" s="78" t="n"/>
    </row>
    <row r="7" ht="30" customHeight="1" s="80">
      <c r="A7" s="155" t="inlineStr">
        <is>
          <t>0720A</t>
        </is>
      </c>
      <c r="B7" s="155" t="inlineStr">
        <is>
          <t>A6</t>
        </is>
      </c>
      <c r="C7" s="162" t="n"/>
      <c r="D7" s="163" t="n"/>
      <c r="E7" s="157">
        <f>IF(ABS(D7-D9)&lt;=100,"正常",IF(D7&gt;D9,"偏大"&amp;INT(D7-D9)&amp;"bp","偏小"&amp;INT(D9-D7)&amp;"bp"))</f>
        <v/>
      </c>
      <c r="F7" s="157">
        <f>D7*0.33*G7*0.001</f>
        <v/>
      </c>
      <c r="G7" s="155">
        <f>900*L7</f>
        <v/>
      </c>
      <c r="H7" s="155" t="n">
        <v>750</v>
      </c>
      <c r="I7" s="157">
        <f>ROUND(H7/H9,4)</f>
        <v/>
      </c>
      <c r="J7" s="162" t="n"/>
      <c r="K7" s="155">
        <f>I7*J7</f>
        <v/>
      </c>
      <c r="L7" s="155">
        <f>K7/K9</f>
        <v/>
      </c>
      <c r="M7" s="155">
        <f>F7/C7</f>
        <v/>
      </c>
      <c r="N7" s="155" t="inlineStr">
        <is>
          <t>自建单细胞3`转录组文库</t>
        </is>
      </c>
      <c r="O7" s="155" t="inlineStr">
        <is>
          <t>深圳达普生物科技有限公司</t>
        </is>
      </c>
      <c r="P7" s="162" t="n"/>
      <c r="Q7" s="155">
        <f>I7*J7</f>
        <v/>
      </c>
      <c r="R7" s="78" t="n"/>
      <c r="S7" s="78" t="n"/>
    </row>
    <row r="8" ht="30" customHeight="1" s="80">
      <c r="A8" s="155" t="inlineStr">
        <is>
          <t>0720A</t>
        </is>
      </c>
      <c r="B8" s="155" t="inlineStr">
        <is>
          <t>A7</t>
        </is>
      </c>
      <c r="C8" s="162" t="n"/>
      <c r="D8" s="163" t="n"/>
      <c r="E8" s="157">
        <f>IF(ABS(D8-D9)&lt;=100,"正常",IF(D8&gt;D9,"偏大"&amp;INT(D8-D9)&amp;"bp","偏小"&amp;INT(D9-D8)&amp;"bp"))</f>
        <v/>
      </c>
      <c r="F8" s="157">
        <f>D8*0.33*G8*0.001</f>
        <v/>
      </c>
      <c r="G8" s="155">
        <f>900*L8</f>
        <v/>
      </c>
      <c r="H8" s="155" t="n">
        <v>750</v>
      </c>
      <c r="I8" s="157">
        <f>ROUND(H8/H9,4)</f>
        <v/>
      </c>
      <c r="J8" s="162" t="n"/>
      <c r="K8" s="155">
        <f>I8*J8</f>
        <v/>
      </c>
      <c r="L8" s="155">
        <f>K8/K9</f>
        <v/>
      </c>
      <c r="M8" s="155">
        <f>F8/C8</f>
        <v/>
      </c>
      <c r="N8" s="155" t="inlineStr">
        <is>
          <t>自建单细胞3`转录组文库</t>
        </is>
      </c>
      <c r="O8" s="155" t="inlineStr">
        <is>
          <t>深圳达普生物科技有限公司</t>
        </is>
      </c>
      <c r="P8" s="162" t="n"/>
      <c r="Q8" s="155">
        <f>I8*J8</f>
        <v/>
      </c>
      <c r="R8" s="78" t="n"/>
      <c r="S8" s="78" t="n"/>
    </row>
    <row r="9" ht="30" customHeight="1" s="80">
      <c r="A9" s="78" t="n"/>
      <c r="B9" s="78" t="n"/>
      <c r="C9" s="78" t="n"/>
      <c r="D9" s="86">
        <f>MEDIAN(D2:D8)</f>
        <v/>
      </c>
      <c r="E9" s="90" t="n"/>
      <c r="F9" s="90" t="n"/>
      <c r="G9" s="78" t="n"/>
      <c r="H9" s="77">
        <f>SUM(H2:H8)</f>
        <v/>
      </c>
      <c r="I9" s="90" t="n"/>
      <c r="J9" s="78" t="n"/>
      <c r="K9" s="77">
        <f>SUM(K2:K8)</f>
        <v/>
      </c>
      <c r="L9" s="78" t="n"/>
      <c r="M9" s="77">
        <f>SUM(M2:M8)</f>
        <v/>
      </c>
      <c r="N9" s="78" t="n"/>
      <c r="O9" s="78" t="n"/>
      <c r="P9" s="77">
        <f>96-M9</f>
        <v/>
      </c>
      <c r="Q9" s="78" t="n"/>
      <c r="R9" s="78" t="n"/>
      <c r="S9" s="78" t="n"/>
    </row>
    <row r="10" ht="30" customHeight="1" s="80">
      <c r="A10" s="155" t="inlineStr">
        <is>
          <t>0720B</t>
        </is>
      </c>
      <c r="B10" s="155" t="inlineStr">
        <is>
          <t>B1</t>
        </is>
      </c>
      <c r="C10" s="162" t="n"/>
      <c r="D10" s="163" t="n"/>
      <c r="E10" s="157">
        <f>IF(ABS(D10-D25)&lt;=100,"正常",IF(D10&gt;D25,"偏大"&amp;INT(D10-D25)&amp;"bp","偏小"&amp;INT(D25-D10)&amp;"bp"))</f>
        <v/>
      </c>
      <c r="F10" s="157">
        <f>D10*0.33*G10*0.001</f>
        <v/>
      </c>
      <c r="G10" s="155">
        <f>900*L10</f>
        <v/>
      </c>
      <c r="H10" s="155" t="n">
        <v>2</v>
      </c>
      <c r="I10" s="157">
        <f>ROUND(H10/H25,4)</f>
        <v/>
      </c>
      <c r="J10" s="162" t="n"/>
      <c r="K10" s="155">
        <f>I10*J10</f>
        <v/>
      </c>
      <c r="L10" s="155">
        <f>K10/K25</f>
        <v/>
      </c>
      <c r="M10" s="155">
        <f>F10/C10</f>
        <v/>
      </c>
      <c r="N10" s="155" t="inlineStr">
        <is>
          <t>有参转录组（RNA-seq）</t>
        </is>
      </c>
      <c r="O10" s="155" t="inlineStr">
        <is>
          <t>广州奥智生物科技有限公司</t>
        </is>
      </c>
      <c r="P10" s="162" t="n"/>
      <c r="Q10" s="155">
        <f>I10*J10</f>
        <v/>
      </c>
      <c r="R10" s="78" t="n"/>
      <c r="S10" s="78" t="n"/>
    </row>
    <row r="11" ht="30" customHeight="1" s="80">
      <c r="A11" s="155" t="inlineStr">
        <is>
          <t>0720B</t>
        </is>
      </c>
      <c r="B11" s="155" t="inlineStr">
        <is>
          <t>B2</t>
        </is>
      </c>
      <c r="C11" s="162" t="n"/>
      <c r="D11" s="163" t="n"/>
      <c r="E11" s="157">
        <f>IF(ABS(D11-D25)&lt;=100,"正常",IF(D11&gt;D25,"偏大"&amp;INT(D11-D25)&amp;"bp","偏小"&amp;INT(D25-D11)&amp;"bp"))</f>
        <v/>
      </c>
      <c r="F11" s="157">
        <f>D11*0.33*G11*0.001</f>
        <v/>
      </c>
      <c r="G11" s="155">
        <f>900*L11</f>
        <v/>
      </c>
      <c r="H11" s="155" t="n">
        <v>583</v>
      </c>
      <c r="I11" s="157">
        <f>ROUND(H11/H25,4)</f>
        <v/>
      </c>
      <c r="J11" s="162" t="n"/>
      <c r="K11" s="155">
        <f>I11*J11</f>
        <v/>
      </c>
      <c r="L11" s="155">
        <f>K11/K25</f>
        <v/>
      </c>
      <c r="M11" s="155">
        <f>F11/C11</f>
        <v/>
      </c>
      <c r="N11" s="155" t="inlineStr">
        <is>
          <t>singleron-3'转录组文库</t>
        </is>
      </c>
      <c r="O11" s="155" t="inlineStr">
        <is>
          <t>南京通元医学检验实验室有限公司</t>
        </is>
      </c>
      <c r="P11" s="162" t="n"/>
      <c r="Q11" s="155">
        <f>I11*J11</f>
        <v/>
      </c>
      <c r="R11" s="78" t="n"/>
      <c r="S11" s="78" t="n"/>
    </row>
    <row r="12" ht="30" customHeight="1" s="80">
      <c r="A12" s="155" t="inlineStr">
        <is>
          <t>0720B</t>
        </is>
      </c>
      <c r="B12" s="155" t="inlineStr">
        <is>
          <t>B3</t>
        </is>
      </c>
      <c r="C12" s="162" t="n"/>
      <c r="D12" s="163" t="n"/>
      <c r="E12" s="157">
        <f>IF(ABS(D12-D25)&lt;=100,"正常",IF(D12&gt;D25,"偏大"&amp;INT(D12-D25)&amp;"bp","偏小"&amp;INT(D25-D12)&amp;"bp"))</f>
        <v/>
      </c>
      <c r="F12" s="157">
        <f>D12*0.33*G12*0.001</f>
        <v/>
      </c>
      <c r="G12" s="155">
        <f>900*L12</f>
        <v/>
      </c>
      <c r="H12" s="155" t="n">
        <v>295</v>
      </c>
      <c r="I12" s="157">
        <f>ROUND(H12/H25,4)</f>
        <v/>
      </c>
      <c r="J12" s="162" t="n"/>
      <c r="K12" s="155">
        <f>I12*J12</f>
        <v/>
      </c>
      <c r="L12" s="155">
        <f>K12/K25</f>
        <v/>
      </c>
      <c r="M12" s="155">
        <f>F12/C12</f>
        <v/>
      </c>
      <c r="N12" s="155" t="inlineStr">
        <is>
          <t>singleron-3'转录组文库</t>
        </is>
      </c>
      <c r="O12" s="155" t="inlineStr">
        <is>
          <t>南京通元医学检验实验室有限公司</t>
        </is>
      </c>
      <c r="P12" s="162" t="n"/>
      <c r="Q12" s="155">
        <f>I12*J12</f>
        <v/>
      </c>
      <c r="R12" s="78" t="n"/>
      <c r="S12" s="78" t="n"/>
    </row>
    <row r="13" ht="30" customHeight="1" s="80">
      <c r="A13" s="155" t="inlineStr">
        <is>
          <t>0720B</t>
        </is>
      </c>
      <c r="B13" s="155" t="inlineStr">
        <is>
          <t>B4</t>
        </is>
      </c>
      <c r="C13" s="162" t="n"/>
      <c r="D13" s="163" t="n"/>
      <c r="E13" s="157">
        <f>IF(ABS(D13-D25)&lt;=100,"正常",IF(D13&gt;D25,"偏大"&amp;INT(D13-D25)&amp;"bp","偏小"&amp;INT(D25-D13)&amp;"bp"))</f>
        <v/>
      </c>
      <c r="F13" s="157">
        <f>D13*0.33*G13*0.001</f>
        <v/>
      </c>
      <c r="G13" s="155">
        <f>900*L13</f>
        <v/>
      </c>
      <c r="H13" s="155" t="n">
        <v>20</v>
      </c>
      <c r="I13" s="157">
        <f>ROUND(H13/H25,4)</f>
        <v/>
      </c>
      <c r="J13" s="162" t="n"/>
      <c r="K13" s="155">
        <f>I13*J13</f>
        <v/>
      </c>
      <c r="L13" s="155">
        <f>K13/K25</f>
        <v/>
      </c>
      <c r="M13" s="155">
        <f>F13/C13</f>
        <v/>
      </c>
      <c r="N13" s="155" t="inlineStr">
        <is>
          <t>singleron-3'转录组文库</t>
        </is>
      </c>
      <c r="O13" s="155" t="inlineStr">
        <is>
          <t>南京通元医学检验实验室有限公司</t>
        </is>
      </c>
      <c r="P13" s="162" t="n"/>
      <c r="Q13" s="155">
        <f>I13*J13</f>
        <v/>
      </c>
      <c r="R13" s="78" t="n"/>
      <c r="S13" s="78" t="n"/>
    </row>
    <row r="14" ht="30" customHeight="1" s="80">
      <c r="A14" s="155" t="inlineStr">
        <is>
          <t>0720B</t>
        </is>
      </c>
      <c r="B14" s="155" t="inlineStr">
        <is>
          <t>B5</t>
        </is>
      </c>
      <c r="C14" s="162" t="n"/>
      <c r="D14" s="163" t="n"/>
      <c r="E14" s="157">
        <f>IF(ABS(D14-D25)&lt;=100,"正常",IF(D14&gt;D25,"偏大"&amp;INT(D14-D25)&amp;"bp","偏小"&amp;INT(D25-D14)&amp;"bp"))</f>
        <v/>
      </c>
      <c r="F14" s="157">
        <f>D14*0.33*G14*0.001</f>
        <v/>
      </c>
      <c r="G14" s="155">
        <f>900*L14</f>
        <v/>
      </c>
      <c r="H14" s="155" t="n">
        <v>820</v>
      </c>
      <c r="I14" s="157">
        <f>ROUND(H14/H25,4)</f>
        <v/>
      </c>
      <c r="J14" s="162" t="n"/>
      <c r="K14" s="155">
        <f>I14*J14</f>
        <v/>
      </c>
      <c r="L14" s="155">
        <f>K14/K25</f>
        <v/>
      </c>
      <c r="M14" s="155">
        <f>F14/C14</f>
        <v/>
      </c>
      <c r="N14" s="155" t="inlineStr">
        <is>
          <t>singleron-3'转录组文库</t>
        </is>
      </c>
      <c r="O14" s="155" t="inlineStr">
        <is>
          <t>南京通元医学检验实验室有限公司</t>
        </is>
      </c>
      <c r="P14" s="162" t="n"/>
      <c r="Q14" s="155">
        <f>I14*J14</f>
        <v/>
      </c>
      <c r="R14" s="78" t="n"/>
      <c r="S14" s="78" t="n"/>
    </row>
    <row r="15" ht="30" customHeight="1" s="80">
      <c r="A15" s="155" t="inlineStr">
        <is>
          <t>0720B</t>
        </is>
      </c>
      <c r="B15" s="155" t="inlineStr">
        <is>
          <t>B6</t>
        </is>
      </c>
      <c r="C15" s="162" t="n"/>
      <c r="D15" s="163" t="n"/>
      <c r="E15" s="157">
        <f>IF(ABS(D15-D25)&lt;=100,"正常",IF(D15&gt;D25,"偏大"&amp;INT(D15-D25)&amp;"bp","偏小"&amp;INT(D25-D15)&amp;"bp"))</f>
        <v/>
      </c>
      <c r="F15" s="157">
        <f>D15*0.33*G15*0.001</f>
        <v/>
      </c>
      <c r="G15" s="155">
        <f>900*L15</f>
        <v/>
      </c>
      <c r="H15" s="155" t="n">
        <v>100</v>
      </c>
      <c r="I15" s="157">
        <f>ROUND(H15/H25,4)</f>
        <v/>
      </c>
      <c r="J15" s="162" t="n"/>
      <c r="K15" s="155">
        <f>I15*J15</f>
        <v/>
      </c>
      <c r="L15" s="155">
        <f>K15/K25</f>
        <v/>
      </c>
      <c r="M15" s="155">
        <f>F15/C15</f>
        <v/>
      </c>
      <c r="N15" s="155" t="inlineStr">
        <is>
          <t>singleron-空转文库</t>
        </is>
      </c>
      <c r="O15" s="155" t="inlineStr">
        <is>
          <t>南京通元医学检验实验室有限公司</t>
        </is>
      </c>
      <c r="P15" s="162" t="n"/>
      <c r="Q15" s="155">
        <f>I15*J15</f>
        <v/>
      </c>
      <c r="R15" s="78" t="n"/>
      <c r="S15" s="78" t="n"/>
    </row>
    <row r="16" ht="30" customHeight="1" s="80">
      <c r="A16" s="155" t="inlineStr">
        <is>
          <t>0720B</t>
        </is>
      </c>
      <c r="B16" s="155" t="inlineStr">
        <is>
          <t>B7</t>
        </is>
      </c>
      <c r="C16" s="162" t="n"/>
      <c r="D16" s="163" t="n"/>
      <c r="E16" s="157">
        <f>IF(ABS(D16-D25)&lt;=100,"正常",IF(D16&gt;D25,"偏大"&amp;INT(D16-D25)&amp;"bp","偏小"&amp;INT(D25-D16)&amp;"bp"))</f>
        <v/>
      </c>
      <c r="F16" s="157">
        <f>D16*0.33*G16*0.001</f>
        <v/>
      </c>
      <c r="G16" s="155">
        <f>900*L16</f>
        <v/>
      </c>
      <c r="H16" s="155" t="n">
        <v>60</v>
      </c>
      <c r="I16" s="157">
        <f>ROUND(H16/H25,4)</f>
        <v/>
      </c>
      <c r="J16" s="162" t="n"/>
      <c r="K16" s="155">
        <f>I16*J16</f>
        <v/>
      </c>
      <c r="L16" s="155">
        <f>K16/K25</f>
        <v/>
      </c>
      <c r="M16" s="155">
        <f>F16/C16</f>
        <v/>
      </c>
      <c r="N16" s="155" t="inlineStr">
        <is>
          <t>mRNA-T7</t>
        </is>
      </c>
      <c r="O16" s="155" t="inlineStr">
        <is>
          <t>暨南大学</t>
        </is>
      </c>
      <c r="P16" s="162" t="n"/>
      <c r="Q16" s="155">
        <f>I16*J16</f>
        <v/>
      </c>
      <c r="R16" s="78" t="n"/>
      <c r="S16" s="78" t="n"/>
    </row>
    <row r="17" ht="30" customHeight="1" s="80">
      <c r="A17" s="155" t="inlineStr">
        <is>
          <t>0720B</t>
        </is>
      </c>
      <c r="B17" s="155" t="inlineStr">
        <is>
          <t>B8</t>
        </is>
      </c>
      <c r="C17" s="162" t="n"/>
      <c r="D17" s="163" t="n"/>
      <c r="E17" s="157">
        <f>IF(ABS(D17-D25)&lt;=100,"正常",IF(D17&gt;D25,"偏大"&amp;INT(D17-D25)&amp;"bp","偏小"&amp;INT(D25-D17)&amp;"bp"))</f>
        <v/>
      </c>
      <c r="F17" s="157">
        <f>D17*0.33*G17*0.001</f>
        <v/>
      </c>
      <c r="G17" s="155">
        <f>900*L17</f>
        <v/>
      </c>
      <c r="H17" s="155" t="n">
        <v>552</v>
      </c>
      <c r="I17" s="157">
        <f>ROUND(H17/H25,4)</f>
        <v/>
      </c>
      <c r="J17" s="162" t="n"/>
      <c r="K17" s="155">
        <f>I17*J17</f>
        <v/>
      </c>
      <c r="L17" s="155">
        <f>K17/K25</f>
        <v/>
      </c>
      <c r="M17" s="155">
        <f>F17/C17</f>
        <v/>
      </c>
      <c r="N17" s="155" t="inlineStr">
        <is>
          <t>mRNA</t>
        </is>
      </c>
      <c r="O17" s="155" t="inlineStr">
        <is>
          <t>江西烈冰生物科技有限公司</t>
        </is>
      </c>
      <c r="P17" s="162" t="n"/>
      <c r="Q17" s="155">
        <f>I17*J17</f>
        <v/>
      </c>
      <c r="R17" s="78" t="n"/>
      <c r="S17" s="78" t="n"/>
    </row>
    <row r="18" ht="30" customHeight="1" s="80">
      <c r="A18" s="155" t="inlineStr">
        <is>
          <t>0720B</t>
        </is>
      </c>
      <c r="B18" s="155" t="inlineStr">
        <is>
          <t>B9</t>
        </is>
      </c>
      <c r="C18" s="162" t="n"/>
      <c r="D18" s="163" t="n"/>
      <c r="E18" s="157">
        <f>IF(ABS(D18-D25)&lt;=100,"正常",IF(D18&gt;D25,"偏大"&amp;INT(D18-D25)&amp;"bp","偏小"&amp;INT(D25-D18)&amp;"bp"))</f>
        <v/>
      </c>
      <c r="F18" s="157">
        <f>D18*0.33*G18*0.001</f>
        <v/>
      </c>
      <c r="G18" s="155">
        <f>900*L18</f>
        <v/>
      </c>
      <c r="H18" s="155" t="n">
        <v>552</v>
      </c>
      <c r="I18" s="157">
        <f>ROUND(H18/H25,4)</f>
        <v/>
      </c>
      <c r="J18" s="162" t="n"/>
      <c r="K18" s="155">
        <f>I18*J18</f>
        <v/>
      </c>
      <c r="L18" s="155">
        <f>K18/K25</f>
        <v/>
      </c>
      <c r="M18" s="155">
        <f>F18/C18</f>
        <v/>
      </c>
      <c r="N18" s="155" t="inlineStr">
        <is>
          <t>mRNA</t>
        </is>
      </c>
      <c r="O18" s="155" t="inlineStr">
        <is>
          <t>江西烈冰生物科技有限公司</t>
        </is>
      </c>
      <c r="P18" s="162" t="n"/>
      <c r="Q18" s="155">
        <f>I18*J18</f>
        <v/>
      </c>
      <c r="R18" s="78" t="n"/>
      <c r="S18" s="78" t="n"/>
    </row>
    <row r="19" ht="30" customHeight="1" s="80">
      <c r="A19" s="155" t="inlineStr">
        <is>
          <t>0720B</t>
        </is>
      </c>
      <c r="B19" s="155" t="inlineStr">
        <is>
          <t>B10</t>
        </is>
      </c>
      <c r="C19" s="162" t="n"/>
      <c r="D19" s="163" t="n"/>
      <c r="E19" s="157">
        <f>IF(ABS(D19-D25)&lt;=100,"正常",IF(D19&gt;D25,"偏大"&amp;INT(D19-D25)&amp;"bp","偏小"&amp;INT(D25-D19)&amp;"bp"))</f>
        <v/>
      </c>
      <c r="F19" s="157">
        <f>D19*0.33*G19*0.001</f>
        <v/>
      </c>
      <c r="G19" s="155">
        <f>900*L19</f>
        <v/>
      </c>
      <c r="H19" s="155" t="n">
        <v>150</v>
      </c>
      <c r="I19" s="157">
        <f>ROUND(H19/H25,4)</f>
        <v/>
      </c>
      <c r="J19" s="162" t="n"/>
      <c r="K19" s="155">
        <f>I19*J19</f>
        <v/>
      </c>
      <c r="L19" s="155">
        <f>K19/K25</f>
        <v/>
      </c>
      <c r="M19" s="155">
        <f>F19/C19</f>
        <v/>
      </c>
      <c r="N19" s="155" t="inlineStr">
        <is>
          <t>自建单细胞3`转录组文库</t>
        </is>
      </c>
      <c r="O19" s="155" t="inlineStr">
        <is>
          <t>深圳达普生物科技有限公司</t>
        </is>
      </c>
      <c r="P19" s="162" t="n"/>
      <c r="Q19" s="155">
        <f>I19*J19</f>
        <v/>
      </c>
      <c r="R19" s="78" t="n"/>
      <c r="S19" s="78" t="n"/>
    </row>
    <row r="20" ht="30" customHeight="1" s="80">
      <c r="A20" s="155" t="inlineStr">
        <is>
          <t>0720B</t>
        </is>
      </c>
      <c r="B20" s="155" t="inlineStr">
        <is>
          <t>B11</t>
        </is>
      </c>
      <c r="C20" s="162" t="n"/>
      <c r="D20" s="163" t="n"/>
      <c r="E20" s="157">
        <f>IF(ABS(D20-D25)&lt;=100,"正常",IF(D20&gt;D25,"偏大"&amp;INT(D20-D25)&amp;"bp","偏小"&amp;INT(D25-D20)&amp;"bp"))</f>
        <v/>
      </c>
      <c r="F20" s="157">
        <f>D20*0.33*G20*0.001</f>
        <v/>
      </c>
      <c r="G20" s="155">
        <f>900*L20</f>
        <v/>
      </c>
      <c r="H20" s="155" t="n">
        <v>24</v>
      </c>
      <c r="I20" s="157">
        <f>ROUND(H20/H25,4)</f>
        <v/>
      </c>
      <c r="J20" s="162" t="n"/>
      <c r="K20" s="155">
        <f>I20*J20</f>
        <v/>
      </c>
      <c r="L20" s="155">
        <f>K20/K25</f>
        <v/>
      </c>
      <c r="M20" s="155">
        <f>F20/C20</f>
        <v/>
      </c>
      <c r="N20" s="155" t="inlineStr">
        <is>
          <t>华大-C4-oligo</t>
        </is>
      </c>
      <c r="O20" s="155" t="inlineStr">
        <is>
          <t>广州奥智生物科技有限公司</t>
        </is>
      </c>
      <c r="P20" s="162" t="n"/>
      <c r="Q20" s="155">
        <f>I20*J20</f>
        <v/>
      </c>
      <c r="R20" s="78" t="n"/>
      <c r="S20" s="78" t="n"/>
    </row>
    <row r="21" ht="30" customHeight="1" s="80">
      <c r="A21" s="155" t="inlineStr">
        <is>
          <t>0720B</t>
        </is>
      </c>
      <c r="B21" s="155" t="inlineStr">
        <is>
          <t>B12</t>
        </is>
      </c>
      <c r="C21" s="162" t="n"/>
      <c r="D21" s="163" t="n"/>
      <c r="E21" s="157">
        <f>IF(ABS(D21-D25)&lt;=100,"正常",IF(D21&gt;D25,"偏大"&amp;INT(D21-D25)&amp;"bp","偏小"&amp;INT(D25-D21)&amp;"bp"))</f>
        <v/>
      </c>
      <c r="F21" s="157">
        <f>D21*0.33*G21*0.001</f>
        <v/>
      </c>
      <c r="G21" s="155">
        <f>900*L21</f>
        <v/>
      </c>
      <c r="H21" s="155" t="n">
        <v>352</v>
      </c>
      <c r="I21" s="157">
        <f>ROUND(H21/H25,4)</f>
        <v/>
      </c>
      <c r="J21" s="162" t="n"/>
      <c r="K21" s="155">
        <f>I21*J21</f>
        <v/>
      </c>
      <c r="L21" s="155">
        <f>K21/K25</f>
        <v/>
      </c>
      <c r="M21" s="155">
        <f>F21/C21</f>
        <v/>
      </c>
      <c r="N21" s="155" t="inlineStr">
        <is>
          <t>华大-C4-转录组</t>
        </is>
      </c>
      <c r="O21" s="155" t="inlineStr">
        <is>
          <t>广州奥智生物科技有限公司</t>
        </is>
      </c>
      <c r="P21" s="162" t="n"/>
      <c r="Q21" s="155">
        <f>I21*J21</f>
        <v/>
      </c>
      <c r="R21" s="78" t="n"/>
      <c r="S21" s="78" t="n"/>
    </row>
    <row r="22" ht="30" customHeight="1" s="80">
      <c r="A22" s="155" t="inlineStr">
        <is>
          <t>0720B</t>
        </is>
      </c>
      <c r="B22" s="155" t="inlineStr">
        <is>
          <t>B13</t>
        </is>
      </c>
      <c r="C22" s="162" t="n"/>
      <c r="D22" s="163" t="n"/>
      <c r="E22" s="157">
        <f>IF(ABS(D22-D25)&lt;=100,"正常",IF(D22&gt;D25,"偏大"&amp;INT(D22-D25)&amp;"bp","偏小"&amp;INT(D25-D22)&amp;"bp"))</f>
        <v/>
      </c>
      <c r="F22" s="157">
        <f>D22*0.33*G22*0.001</f>
        <v/>
      </c>
      <c r="G22" s="155">
        <f>900*L22</f>
        <v/>
      </c>
      <c r="H22" s="155" t="n">
        <v>6</v>
      </c>
      <c r="I22" s="157">
        <f>ROUND(H22/H25,4)</f>
        <v/>
      </c>
      <c r="J22" s="162" t="n"/>
      <c r="K22" s="155">
        <f>I22*J22</f>
        <v/>
      </c>
      <c r="L22" s="155">
        <f>K22/K25</f>
        <v/>
      </c>
      <c r="M22" s="155">
        <f>F22/C22</f>
        <v/>
      </c>
      <c r="N22" s="155" t="inlineStr">
        <is>
          <t>扩增子文库</t>
        </is>
      </c>
      <c r="O22" s="155" t="inlineStr">
        <is>
          <t>广东美格基因科技有限公司</t>
        </is>
      </c>
      <c r="P22" s="162" t="n"/>
      <c r="Q22" s="155">
        <f>I22*J22</f>
        <v/>
      </c>
      <c r="R22" s="78" t="n"/>
      <c r="S22" s="78" t="n"/>
    </row>
    <row r="23" ht="30" customHeight="1" s="80">
      <c r="A23" s="155" t="inlineStr">
        <is>
          <t>0720B</t>
        </is>
      </c>
      <c r="B23" s="155" t="inlineStr">
        <is>
          <t>B14</t>
        </is>
      </c>
      <c r="C23" s="162" t="n"/>
      <c r="D23" s="163" t="n"/>
      <c r="E23" s="157">
        <f>IF(ABS(D23-D25)&lt;=100,"正常",IF(D23&gt;D25,"偏大"&amp;INT(D23-D25)&amp;"bp","偏小"&amp;INT(D25-D23)&amp;"bp"))</f>
        <v/>
      </c>
      <c r="F23" s="157">
        <f>D23*0.33*G23*0.001</f>
        <v/>
      </c>
      <c r="G23" s="155">
        <f>900*L23</f>
        <v/>
      </c>
      <c r="H23" s="155" t="n">
        <v>110</v>
      </c>
      <c r="I23" s="157">
        <f>ROUND(H23/H25,4)</f>
        <v/>
      </c>
      <c r="J23" s="162" t="n"/>
      <c r="K23" s="155">
        <f>I23*J23</f>
        <v/>
      </c>
      <c r="L23" s="155">
        <f>K23/K25</f>
        <v/>
      </c>
      <c r="M23" s="155">
        <f>F23/C23</f>
        <v/>
      </c>
      <c r="N23" s="155" t="inlineStr">
        <is>
          <t>华大C4-cDNA</t>
        </is>
      </c>
      <c r="O23" s="155" t="inlineStr">
        <is>
          <t>广州世益科技有限公司</t>
        </is>
      </c>
      <c r="P23" s="162" t="n"/>
      <c r="Q23" s="155">
        <f>I23*J23</f>
        <v/>
      </c>
      <c r="R23" s="78" t="n"/>
      <c r="S23" s="78" t="n"/>
    </row>
    <row r="24" ht="30" customHeight="1" s="80">
      <c r="A24" s="155" t="inlineStr">
        <is>
          <t>0720B</t>
        </is>
      </c>
      <c r="B24" s="155" t="inlineStr">
        <is>
          <t>B15</t>
        </is>
      </c>
      <c r="C24" s="162" t="n"/>
      <c r="D24" s="163" t="n"/>
      <c r="E24" s="157">
        <f>IF(ABS(D24-D25)&lt;=100,"正常",IF(D24&gt;D25,"偏大"&amp;INT(D24-D25)&amp;"bp","偏小"&amp;INT(D25-D24)&amp;"bp"))</f>
        <v/>
      </c>
      <c r="F24" s="157">
        <f>D24*0.33*G24*0.001</f>
        <v/>
      </c>
      <c r="G24" s="155">
        <f>900*L24</f>
        <v/>
      </c>
      <c r="H24" s="155" t="n">
        <v>30</v>
      </c>
      <c r="I24" s="157">
        <f>ROUND(H24/H25,4)</f>
        <v/>
      </c>
      <c r="J24" s="162" t="n"/>
      <c r="K24" s="155">
        <f>I24*J24</f>
        <v/>
      </c>
      <c r="L24" s="155">
        <f>K24/K25</f>
        <v/>
      </c>
      <c r="M24" s="155">
        <f>F24/C24</f>
        <v/>
      </c>
      <c r="N24" s="155" t="inlineStr">
        <is>
          <t>华大C4-cDNA</t>
        </is>
      </c>
      <c r="O24" s="155" t="inlineStr">
        <is>
          <t>广州世益科技有限公司</t>
        </is>
      </c>
      <c r="P24" s="162" t="n"/>
      <c r="Q24" s="155">
        <f>I24*J24</f>
        <v/>
      </c>
      <c r="R24" s="78" t="n"/>
      <c r="S24" s="78" t="n"/>
    </row>
    <row r="25" ht="30" customHeight="1" s="80">
      <c r="A25" s="78" t="n"/>
      <c r="B25" s="78" t="n"/>
      <c r="C25" s="78" t="n"/>
      <c r="D25" s="86">
        <f>MEDIAN(D10:D24)</f>
        <v/>
      </c>
      <c r="E25" s="90" t="n"/>
      <c r="F25" s="90" t="n"/>
      <c r="G25" s="78" t="n"/>
      <c r="H25" s="77">
        <f>SUM(H10:H24)</f>
        <v/>
      </c>
      <c r="I25" s="90" t="n"/>
      <c r="J25" s="78" t="n"/>
      <c r="K25" s="77">
        <f>SUM(K10:K24)</f>
        <v/>
      </c>
      <c r="L25" s="78" t="n"/>
      <c r="M25" s="77">
        <f>SUM(M10:M24)</f>
        <v/>
      </c>
      <c r="N25" s="78" t="n"/>
      <c r="O25" s="78" t="n"/>
      <c r="P25" s="77">
        <f>96-M25</f>
        <v/>
      </c>
      <c r="Q25" s="78" t="n"/>
      <c r="R25" s="78" t="n"/>
      <c r="S25" s="78" t="n"/>
    </row>
    <row r="26" ht="30" customHeight="1" s="80">
      <c r="A26" s="155" t="inlineStr">
        <is>
          <t>0720C</t>
        </is>
      </c>
      <c r="B26" s="155" t="inlineStr">
        <is>
          <t>C1</t>
        </is>
      </c>
      <c r="C26" s="162" t="n"/>
      <c r="D26" s="163" t="n"/>
      <c r="E26" s="157">
        <f>IF(ABS(D26-D55)&lt;=100,"正常",IF(D26&gt;D55,"偏大"&amp;INT(D26-D55)&amp;"bp","偏小"&amp;INT(D55-D26)&amp;"bp"))</f>
        <v/>
      </c>
      <c r="F26" s="157">
        <f>D26*0.33*G26*0.001</f>
        <v/>
      </c>
      <c r="G26" s="155">
        <f>900*L26</f>
        <v/>
      </c>
      <c r="H26" s="155" t="n">
        <v>66.13</v>
      </c>
      <c r="I26" s="157">
        <f>ROUND(H26/H55,4)</f>
        <v/>
      </c>
      <c r="J26" s="162" t="n"/>
      <c r="K26" s="155">
        <f>I26*J26</f>
        <v/>
      </c>
      <c r="L26" s="155">
        <f>K26/K55</f>
        <v/>
      </c>
      <c r="M26" s="155">
        <f>F26/C26</f>
        <v/>
      </c>
      <c r="N26" s="155" t="inlineStr">
        <is>
          <t>10X-3-转录组</t>
        </is>
      </c>
      <c r="O26" s="155" t="inlineStr">
        <is>
          <t>广州奥智生物科技有限公司</t>
        </is>
      </c>
      <c r="P26" s="162" t="n"/>
      <c r="Q26" s="155">
        <f>I26*J26</f>
        <v/>
      </c>
      <c r="R26" s="78" t="n"/>
      <c r="S26" s="78" t="n"/>
    </row>
    <row r="27" ht="30" customHeight="1" s="80">
      <c r="A27" s="155" t="inlineStr">
        <is>
          <t>0720C</t>
        </is>
      </c>
      <c r="B27" s="155" t="inlineStr">
        <is>
          <t>C2</t>
        </is>
      </c>
      <c r="C27" s="162" t="n"/>
      <c r="D27" s="163" t="n"/>
      <c r="E27" s="157">
        <f>IF(ABS(D27-D55)&lt;=100,"正常",IF(D27&gt;D55,"偏大"&amp;INT(D27-D55)&amp;"bp","偏小"&amp;INT(D55-D27)&amp;"bp"))</f>
        <v/>
      </c>
      <c r="F27" s="157">
        <f>D27*0.33*G27*0.001</f>
        <v/>
      </c>
      <c r="G27" s="155">
        <f>900*L27</f>
        <v/>
      </c>
      <c r="H27" s="155" t="n">
        <v>17.01</v>
      </c>
      <c r="I27" s="157">
        <f>ROUND(H27/H55,4)</f>
        <v/>
      </c>
      <c r="J27" s="162" t="n"/>
      <c r="K27" s="155">
        <f>I27*J27</f>
        <v/>
      </c>
      <c r="L27" s="155">
        <f>K27/K55</f>
        <v/>
      </c>
      <c r="M27" s="155">
        <f>F27/C27</f>
        <v/>
      </c>
      <c r="N27" s="155" t="inlineStr">
        <is>
          <t>10X-3-转录组</t>
        </is>
      </c>
      <c r="O27" s="155" t="inlineStr">
        <is>
          <t>广州奥智生物科技有限公司</t>
        </is>
      </c>
      <c r="P27" s="162" t="n"/>
      <c r="Q27" s="155">
        <f>I27*J27</f>
        <v/>
      </c>
      <c r="R27" s="78" t="n"/>
      <c r="S27" s="78" t="n"/>
    </row>
    <row r="28" ht="30" customHeight="1" s="80">
      <c r="A28" s="155" t="inlineStr">
        <is>
          <t>0720C</t>
        </is>
      </c>
      <c r="B28" s="155" t="inlineStr">
        <is>
          <t>C3</t>
        </is>
      </c>
      <c r="C28" s="162" t="n"/>
      <c r="D28" s="163" t="n"/>
      <c r="E28" s="157">
        <f>IF(ABS(D28-D55)&lt;=100,"正常",IF(D28&gt;D55,"偏大"&amp;INT(D28-D55)&amp;"bp","偏小"&amp;INT(D55-D28)&amp;"bp"))</f>
        <v/>
      </c>
      <c r="F28" s="157">
        <f>D28*0.33*G28*0.001</f>
        <v/>
      </c>
      <c r="G28" s="155">
        <f>900*L28</f>
        <v/>
      </c>
      <c r="H28" s="155" t="n">
        <v>45</v>
      </c>
      <c r="I28" s="157">
        <f>ROUND(H28/H55,4)</f>
        <v/>
      </c>
      <c r="J28" s="162" t="n"/>
      <c r="K28" s="155">
        <f>I28*J28</f>
        <v/>
      </c>
      <c r="L28" s="155">
        <f>K28/K55</f>
        <v/>
      </c>
      <c r="M28" s="155">
        <f>F28/C28</f>
        <v/>
      </c>
      <c r="N28" s="155" t="inlineStr">
        <is>
          <t>无参转录组（RNA-seq）</t>
        </is>
      </c>
      <c r="O28" s="155" t="inlineStr">
        <is>
          <t>广州奥智生物科技有限公司</t>
        </is>
      </c>
      <c r="P28" s="162" t="n"/>
      <c r="Q28" s="155">
        <f>I28*J28</f>
        <v/>
      </c>
      <c r="R28" s="78" t="n"/>
      <c r="S28" s="78" t="n"/>
    </row>
    <row r="29" ht="30" customHeight="1" s="80">
      <c r="A29" s="155" t="inlineStr">
        <is>
          <t>0720C</t>
        </is>
      </c>
      <c r="B29" s="155" t="inlineStr">
        <is>
          <t>C4</t>
        </is>
      </c>
      <c r="C29" s="162" t="n"/>
      <c r="D29" s="163" t="n"/>
      <c r="E29" s="157">
        <f>IF(ABS(D29-D55)&lt;=100,"正常",IF(D29&gt;D55,"偏大"&amp;INT(D29-D55)&amp;"bp","偏小"&amp;INT(D55-D29)&amp;"bp"))</f>
        <v/>
      </c>
      <c r="F29" s="157">
        <f>D29*0.33*G29*0.001</f>
        <v/>
      </c>
      <c r="G29" s="155">
        <f>900*L29</f>
        <v/>
      </c>
      <c r="H29" s="155" t="n">
        <v>107.69</v>
      </c>
      <c r="I29" s="157">
        <f>ROUND(H29/H55,4)</f>
        <v/>
      </c>
      <c r="J29" s="162" t="n"/>
      <c r="K29" s="155">
        <f>I29*J29</f>
        <v/>
      </c>
      <c r="L29" s="155">
        <f>K29/K55</f>
        <v/>
      </c>
      <c r="M29" s="155">
        <f>F29/C29</f>
        <v/>
      </c>
      <c r="N29" s="155" t="inlineStr">
        <is>
          <t>有参转录组（RNA-seq）</t>
        </is>
      </c>
      <c r="O29" s="155" t="inlineStr">
        <is>
          <t>广州奥智生物科技有限公司</t>
        </is>
      </c>
      <c r="P29" s="162" t="n"/>
      <c r="Q29" s="155">
        <f>I29*J29</f>
        <v/>
      </c>
      <c r="R29" s="78" t="n"/>
      <c r="S29" s="78" t="n"/>
    </row>
    <row r="30" ht="30" customHeight="1" s="80">
      <c r="A30" s="155" t="inlineStr">
        <is>
          <t>0720C</t>
        </is>
      </c>
      <c r="B30" s="155" t="inlineStr">
        <is>
          <t>C5</t>
        </is>
      </c>
      <c r="C30" s="162" t="n"/>
      <c r="D30" s="163" t="n"/>
      <c r="E30" s="157">
        <f>IF(ABS(D30-D55)&lt;=100,"正常",IF(D30&gt;D55,"偏大"&amp;INT(D30-D55)&amp;"bp","偏小"&amp;INT(D55-D30)&amp;"bp"))</f>
        <v/>
      </c>
      <c r="F30" s="157">
        <f>D30*0.33*G30*0.001</f>
        <v/>
      </c>
      <c r="G30" s="155">
        <f>900*L30</f>
        <v/>
      </c>
      <c r="H30" s="155" t="n">
        <v>370</v>
      </c>
      <c r="I30" s="157">
        <f>ROUND(H30/H55,4)</f>
        <v/>
      </c>
      <c r="J30" s="162" t="n"/>
      <c r="K30" s="155">
        <f>I30*J30</f>
        <v/>
      </c>
      <c r="L30" s="155">
        <f>K30/K55</f>
        <v/>
      </c>
      <c r="M30" s="155">
        <f>F30/C30</f>
        <v/>
      </c>
      <c r="N30" s="155" t="inlineStr">
        <is>
          <t>有参转录组（RNA-seq）</t>
        </is>
      </c>
      <c r="O30" s="155" t="inlineStr">
        <is>
          <t>广州奥智生物科技有限公司</t>
        </is>
      </c>
      <c r="P30" s="162" t="n"/>
      <c r="Q30" s="155">
        <f>I30*J30</f>
        <v/>
      </c>
      <c r="R30" s="78" t="n"/>
      <c r="S30" s="78" t="n"/>
    </row>
    <row r="31" ht="30" customHeight="1" s="80">
      <c r="A31" s="155" t="inlineStr">
        <is>
          <t>0720C</t>
        </is>
      </c>
      <c r="B31" s="155" t="inlineStr">
        <is>
          <t>C6</t>
        </is>
      </c>
      <c r="C31" s="162" t="n"/>
      <c r="D31" s="163" t="n"/>
      <c r="E31" s="157">
        <f>IF(ABS(D31-D55)&lt;=100,"正常",IF(D31&gt;D55,"偏大"&amp;INT(D31-D55)&amp;"bp","偏小"&amp;INT(D55-D31)&amp;"bp"))</f>
        <v/>
      </c>
      <c r="F31" s="157">
        <f>D31*0.33*G31*0.001</f>
        <v/>
      </c>
      <c r="G31" s="155">
        <f>900*L31</f>
        <v/>
      </c>
      <c r="H31" s="155" t="n">
        <v>5</v>
      </c>
      <c r="I31" s="157">
        <f>ROUND(H31/H55,4)</f>
        <v/>
      </c>
      <c r="J31" s="162" t="n"/>
      <c r="K31" s="155">
        <f>I31*J31</f>
        <v/>
      </c>
      <c r="L31" s="155">
        <f>K31/K55</f>
        <v/>
      </c>
      <c r="M31" s="155">
        <f>F31/C31</f>
        <v/>
      </c>
      <c r="N31" s="155" t="inlineStr">
        <is>
          <t>有参转录组（RNA-seq）</t>
        </is>
      </c>
      <c r="O31" s="155" t="inlineStr">
        <is>
          <t>广州基迪奥科技服务有限公司</t>
        </is>
      </c>
      <c r="P31" s="162" t="n"/>
      <c r="Q31" s="155">
        <f>I31*J31</f>
        <v/>
      </c>
      <c r="R31" s="78" t="n"/>
      <c r="S31" s="78" t="n"/>
    </row>
    <row r="32" ht="30" customHeight="1" s="80">
      <c r="A32" s="155" t="inlineStr">
        <is>
          <t>0720C</t>
        </is>
      </c>
      <c r="B32" s="155" t="inlineStr">
        <is>
          <t>C7</t>
        </is>
      </c>
      <c r="C32" s="162" t="n"/>
      <c r="D32" s="163" t="n"/>
      <c r="E32" s="157">
        <f>IF(ABS(D32-D55)&lt;=100,"正常",IF(D32&gt;D55,"偏大"&amp;INT(D32-D55)&amp;"bp","偏小"&amp;INT(D55-D32)&amp;"bp"))</f>
        <v/>
      </c>
      <c r="F32" s="157">
        <f>D32*0.33*G32*0.001</f>
        <v/>
      </c>
      <c r="G32" s="155">
        <f>900*L32</f>
        <v/>
      </c>
      <c r="H32" s="155" t="n">
        <v>6</v>
      </c>
      <c r="I32" s="157">
        <f>ROUND(H32/H55,4)</f>
        <v/>
      </c>
      <c r="J32" s="162" t="n"/>
      <c r="K32" s="155">
        <f>I32*J32</f>
        <v/>
      </c>
      <c r="L32" s="155">
        <f>K32/K55</f>
        <v/>
      </c>
      <c r="M32" s="155">
        <f>F32/C32</f>
        <v/>
      </c>
      <c r="N32" s="155" t="inlineStr">
        <is>
          <t>重测序</t>
        </is>
      </c>
      <c r="O32" s="155" t="inlineStr">
        <is>
          <t>广州基迪奥科技服务有限公司</t>
        </is>
      </c>
      <c r="P32" s="162" t="n"/>
      <c r="Q32" s="155">
        <f>I32*J32</f>
        <v/>
      </c>
      <c r="R32" s="78" t="n"/>
      <c r="S32" s="78" t="n"/>
    </row>
    <row r="33" ht="30" customHeight="1" s="80">
      <c r="A33" s="155" t="inlineStr">
        <is>
          <t>0720C</t>
        </is>
      </c>
      <c r="B33" s="155" t="inlineStr">
        <is>
          <t>C8</t>
        </is>
      </c>
      <c r="C33" s="162" t="n"/>
      <c r="D33" s="163" t="n"/>
      <c r="E33" s="157">
        <f>IF(ABS(D33-D55)&lt;=100,"正常",IF(D33&gt;D55,"偏大"&amp;INT(D33-D55)&amp;"bp","偏小"&amp;INT(D55-D33)&amp;"bp"))</f>
        <v/>
      </c>
      <c r="F33" s="157">
        <f>D33*0.33*G33*0.001</f>
        <v/>
      </c>
      <c r="G33" s="155">
        <f>900*L33</f>
        <v/>
      </c>
      <c r="H33" s="155" t="n">
        <v>100</v>
      </c>
      <c r="I33" s="157">
        <f>ROUND(H33/H55,4)</f>
        <v/>
      </c>
      <c r="J33" s="162" t="n"/>
      <c r="K33" s="155">
        <f>I33*J33</f>
        <v/>
      </c>
      <c r="L33" s="155">
        <f>K33/K55</f>
        <v/>
      </c>
      <c r="M33" s="155">
        <f>F33/C33</f>
        <v/>
      </c>
      <c r="N33" s="155" t="inlineStr">
        <is>
          <t>singleron-3'转录组文库</t>
        </is>
      </c>
      <c r="O33" s="155" t="inlineStr">
        <is>
          <t>南京通元医学检验实验室有限公司</t>
        </is>
      </c>
      <c r="P33" s="162" t="n"/>
      <c r="Q33" s="155">
        <f>I33*J33</f>
        <v/>
      </c>
      <c r="R33" s="78" t="n"/>
      <c r="S33" s="78" t="n"/>
    </row>
    <row r="34" ht="30" customHeight="1" s="80">
      <c r="A34" s="155" t="inlineStr">
        <is>
          <t>0720C</t>
        </is>
      </c>
      <c r="B34" s="155" t="inlineStr">
        <is>
          <t>C9</t>
        </is>
      </c>
      <c r="C34" s="162" t="n"/>
      <c r="D34" s="163" t="n"/>
      <c r="E34" s="157">
        <f>IF(ABS(D34-D55)&lt;=100,"正常",IF(D34&gt;D55,"偏大"&amp;INT(D34-D55)&amp;"bp","偏小"&amp;INT(D55-D34)&amp;"bp"))</f>
        <v/>
      </c>
      <c r="F34" s="157">
        <f>D34*0.33*G34*0.001</f>
        <v/>
      </c>
      <c r="G34" s="155">
        <f>900*L34</f>
        <v/>
      </c>
      <c r="H34" s="155" t="n">
        <v>100</v>
      </c>
      <c r="I34" s="157">
        <f>ROUND(H34/H55,4)</f>
        <v/>
      </c>
      <c r="J34" s="162" t="n"/>
      <c r="K34" s="155">
        <f>I34*J34</f>
        <v/>
      </c>
      <c r="L34" s="155">
        <f>K34/K55</f>
        <v/>
      </c>
      <c r="M34" s="155">
        <f>F34/C34</f>
        <v/>
      </c>
      <c r="N34" s="155" t="inlineStr">
        <is>
          <t>singleron-空转文库</t>
        </is>
      </c>
      <c r="O34" s="155" t="inlineStr">
        <is>
          <t>南京通元医学检验实验室有限公司</t>
        </is>
      </c>
      <c r="P34" s="162" t="n"/>
      <c r="Q34" s="155">
        <f>I34*J34</f>
        <v/>
      </c>
      <c r="R34" s="78" t="n"/>
      <c r="S34" s="78" t="n"/>
    </row>
    <row r="35" ht="30" customHeight="1" s="80">
      <c r="A35" s="155" t="inlineStr">
        <is>
          <t>0720C</t>
        </is>
      </c>
      <c r="B35" s="155" t="inlineStr">
        <is>
          <t>C10</t>
        </is>
      </c>
      <c r="C35" s="162" t="n"/>
      <c r="D35" s="163" t="n"/>
      <c r="E35" s="157">
        <f>IF(ABS(D35-D55)&lt;=100,"正常",IF(D35&gt;D55,"偏大"&amp;INT(D35-D55)&amp;"bp","偏小"&amp;INT(D55-D35)&amp;"bp"))</f>
        <v/>
      </c>
      <c r="F35" s="157">
        <f>D35*0.33*G35*0.001</f>
        <v/>
      </c>
      <c r="G35" s="155">
        <f>900*L35</f>
        <v/>
      </c>
      <c r="H35" s="155" t="n">
        <v>400</v>
      </c>
      <c r="I35" s="157">
        <f>ROUND(H35/H55,4)</f>
        <v/>
      </c>
      <c r="J35" s="162" t="n"/>
      <c r="K35" s="155">
        <f>I35*J35</f>
        <v/>
      </c>
      <c r="L35" s="155">
        <f>K35/K55</f>
        <v/>
      </c>
      <c r="M35" s="155">
        <f>F35/C35</f>
        <v/>
      </c>
      <c r="N35" s="155" t="inlineStr">
        <is>
          <t>10x 5'单细胞</t>
        </is>
      </c>
      <c r="O35" s="155" t="inlineStr">
        <is>
          <t>江西烈冰生物科技有限公司</t>
        </is>
      </c>
      <c r="P35" s="162" t="n"/>
      <c r="Q35" s="155">
        <f>I35*J35</f>
        <v/>
      </c>
      <c r="R35" s="78" t="n"/>
      <c r="S35" s="78" t="n"/>
    </row>
    <row r="36" ht="30" customHeight="1" s="80">
      <c r="A36" s="155" t="inlineStr">
        <is>
          <t>0720C</t>
        </is>
      </c>
      <c r="B36" s="155" t="inlineStr">
        <is>
          <t>C11</t>
        </is>
      </c>
      <c r="C36" s="162" t="n"/>
      <c r="D36" s="163" t="n"/>
      <c r="E36" s="157">
        <f>IF(ABS(D36-D55)&lt;=100,"正常",IF(D36&gt;D55,"偏大"&amp;INT(D36-D55)&amp;"bp","偏小"&amp;INT(D55-D36)&amp;"bp"))</f>
        <v/>
      </c>
      <c r="F36" s="157">
        <f>D36*0.33*G36*0.001</f>
        <v/>
      </c>
      <c r="G36" s="155">
        <f>900*L36</f>
        <v/>
      </c>
      <c r="H36" s="155" t="n">
        <v>36</v>
      </c>
      <c r="I36" s="157">
        <f>ROUND(H36/H55,4)</f>
        <v/>
      </c>
      <c r="J36" s="162" t="n"/>
      <c r="K36" s="155">
        <f>I36*J36</f>
        <v/>
      </c>
      <c r="L36" s="155">
        <f>K36/K55</f>
        <v/>
      </c>
      <c r="M36" s="155">
        <f>F36/C36</f>
        <v/>
      </c>
      <c r="N36" s="155" t="inlineStr">
        <is>
          <t>mRNA</t>
        </is>
      </c>
      <c r="O36" s="155" t="inlineStr">
        <is>
          <t>江西烈冰生物科技有限公司</t>
        </is>
      </c>
      <c r="P36" s="162" t="n"/>
      <c r="Q36" s="155">
        <f>I36*J36</f>
        <v/>
      </c>
      <c r="R36" s="78" t="n"/>
      <c r="S36" s="78" t="n"/>
    </row>
    <row r="37" ht="30" customHeight="1" s="80">
      <c r="A37" s="155" t="inlineStr">
        <is>
          <t>0720C</t>
        </is>
      </c>
      <c r="B37" s="155" t="inlineStr">
        <is>
          <t>C12</t>
        </is>
      </c>
      <c r="C37" s="162" t="n"/>
      <c r="D37" s="163" t="n"/>
      <c r="E37" s="157">
        <f>IF(ABS(D37-D55)&lt;=100,"正常",IF(D37&gt;D55,"偏大"&amp;INT(D37-D55)&amp;"bp","偏小"&amp;INT(D55-D37)&amp;"bp"))</f>
        <v/>
      </c>
      <c r="F37" s="157">
        <f>D37*0.33*G37*0.001</f>
        <v/>
      </c>
      <c r="G37" s="155">
        <f>900*L37</f>
        <v/>
      </c>
      <c r="H37" s="155" t="n">
        <v>60</v>
      </c>
      <c r="I37" s="157">
        <f>ROUND(H37/H55,4)</f>
        <v/>
      </c>
      <c r="J37" s="162" t="n"/>
      <c r="K37" s="155">
        <f>I37*J37</f>
        <v/>
      </c>
      <c r="L37" s="155">
        <f>K37/K55</f>
        <v/>
      </c>
      <c r="M37" s="155">
        <f>F37/C37</f>
        <v/>
      </c>
      <c r="N37" s="155" t="inlineStr">
        <is>
          <t>HIC</t>
        </is>
      </c>
      <c r="O37" s="155" t="inlineStr">
        <is>
          <t>深圳湾实验室</t>
        </is>
      </c>
      <c r="P37" s="162" t="n"/>
      <c r="Q37" s="155">
        <f>I37*J37</f>
        <v/>
      </c>
      <c r="R37" s="78" t="n"/>
      <c r="S37" s="78" t="n"/>
    </row>
    <row r="38" ht="30" customHeight="1" s="80">
      <c r="A38" s="155" t="inlineStr">
        <is>
          <t>0720C</t>
        </is>
      </c>
      <c r="B38" s="155" t="inlineStr">
        <is>
          <t>C13</t>
        </is>
      </c>
      <c r="C38" s="162" t="n"/>
      <c r="D38" s="163" t="n"/>
      <c r="E38" s="157">
        <f>IF(ABS(D38-D55)&lt;=100,"正常",IF(D38&gt;D55,"偏大"&amp;INT(D38-D55)&amp;"bp","偏小"&amp;INT(D55-D38)&amp;"bp"))</f>
        <v/>
      </c>
      <c r="F38" s="157">
        <f>D38*0.33*G38*0.001</f>
        <v/>
      </c>
      <c r="G38" s="155">
        <f>900*L38</f>
        <v/>
      </c>
      <c r="H38" s="155" t="n">
        <v>40</v>
      </c>
      <c r="I38" s="157">
        <f>ROUND(H38/H55,4)</f>
        <v/>
      </c>
      <c r="J38" s="162" t="n"/>
      <c r="K38" s="155">
        <f>I38*J38</f>
        <v/>
      </c>
      <c r="L38" s="155">
        <f>K38/K55</f>
        <v/>
      </c>
      <c r="M38" s="155">
        <f>F38/C38</f>
        <v/>
      </c>
      <c r="N38" s="155" t="inlineStr">
        <is>
          <t>WGBS</t>
        </is>
      </c>
      <c r="O38" s="155" t="inlineStr">
        <is>
          <t>深圳湾实验室</t>
        </is>
      </c>
      <c r="P38" s="162" t="n"/>
      <c r="Q38" s="155">
        <f>I38*J38</f>
        <v/>
      </c>
      <c r="R38" s="78" t="n"/>
      <c r="S38" s="78" t="n"/>
    </row>
    <row r="39" ht="30" customHeight="1" s="80">
      <c r="A39" s="155" t="inlineStr">
        <is>
          <t>0720C</t>
        </is>
      </c>
      <c r="B39" s="155" t="inlineStr">
        <is>
          <t>C14</t>
        </is>
      </c>
      <c r="C39" s="162" t="n"/>
      <c r="D39" s="163" t="n"/>
      <c r="E39" s="157">
        <f>IF(ABS(D39-D55)&lt;=100,"正常",IF(D39&gt;D55,"偏大"&amp;INT(D39-D55)&amp;"bp","偏小"&amp;INT(D55-D39)&amp;"bp"))</f>
        <v/>
      </c>
      <c r="F39" s="157">
        <f>D39*0.33*G39*0.001</f>
        <v/>
      </c>
      <c r="G39" s="155">
        <f>900*L39</f>
        <v/>
      </c>
      <c r="H39" s="155" t="n">
        <v>20</v>
      </c>
      <c r="I39" s="157">
        <f>ROUND(H39/H55,4)</f>
        <v/>
      </c>
      <c r="J39" s="162" t="n"/>
      <c r="K39" s="155">
        <f>I39*J39</f>
        <v/>
      </c>
      <c r="L39" s="155">
        <f>K39/K55</f>
        <v/>
      </c>
      <c r="M39" s="155">
        <f>F39/C39</f>
        <v/>
      </c>
      <c r="N39" s="155" t="inlineStr">
        <is>
          <t>WGBS</t>
        </is>
      </c>
      <c r="O39" s="155" t="inlineStr">
        <is>
          <t>深圳湾实验室</t>
        </is>
      </c>
      <c r="P39" s="162" t="n"/>
      <c r="Q39" s="155">
        <f>I39*J39</f>
        <v/>
      </c>
      <c r="R39" s="78" t="n"/>
      <c r="S39" s="78" t="n"/>
    </row>
    <row r="40" ht="30" customHeight="1" s="80">
      <c r="A40" s="155" t="inlineStr">
        <is>
          <t>0720C</t>
        </is>
      </c>
      <c r="B40" s="155" t="inlineStr">
        <is>
          <t>C15</t>
        </is>
      </c>
      <c r="C40" s="162" t="n"/>
      <c r="D40" s="163" t="n"/>
      <c r="E40" s="157">
        <f>IF(ABS(D40-D55)&lt;=100,"正常",IF(D40&gt;D55,"偏大"&amp;INT(D40-D55)&amp;"bp","偏小"&amp;INT(D55-D40)&amp;"bp"))</f>
        <v/>
      </c>
      <c r="F40" s="157">
        <f>D40*0.33*G40*0.001</f>
        <v/>
      </c>
      <c r="G40" s="155">
        <f>900*L40</f>
        <v/>
      </c>
      <c r="H40" s="155" t="n">
        <v>16</v>
      </c>
      <c r="I40" s="157">
        <f>ROUND(H40/H55,4)</f>
        <v/>
      </c>
      <c r="J40" s="162" t="n"/>
      <c r="K40" s="155">
        <f>I40*J40</f>
        <v/>
      </c>
      <c r="L40" s="155">
        <f>K40/K55</f>
        <v/>
      </c>
      <c r="M40" s="155">
        <f>F40/C40</f>
        <v/>
      </c>
      <c r="N40" s="155" t="inlineStr">
        <is>
          <t>华大-C4-oligo</t>
        </is>
      </c>
      <c r="O40" s="155" t="inlineStr">
        <is>
          <t>广州奥智生物科技有限公司</t>
        </is>
      </c>
      <c r="P40" s="162" t="n"/>
      <c r="Q40" s="155">
        <f>I40*J40</f>
        <v/>
      </c>
      <c r="R40" s="78" t="n"/>
      <c r="S40" s="78" t="n"/>
    </row>
    <row r="41" ht="30" customHeight="1" s="80">
      <c r="A41" s="155" t="inlineStr">
        <is>
          <t>0720C</t>
        </is>
      </c>
      <c r="B41" s="155" t="inlineStr">
        <is>
          <t>C16</t>
        </is>
      </c>
      <c r="C41" s="162" t="n"/>
      <c r="D41" s="163" t="n"/>
      <c r="E41" s="157">
        <f>IF(ABS(D41-D55)&lt;=100,"正常",IF(D41&gt;D55,"偏大"&amp;INT(D41-D55)&amp;"bp","偏小"&amp;INT(D55-D41)&amp;"bp"))</f>
        <v/>
      </c>
      <c r="F41" s="157">
        <f>D41*0.33*G41*0.001</f>
        <v/>
      </c>
      <c r="G41" s="155">
        <f>900*L41</f>
        <v/>
      </c>
      <c r="H41" s="155" t="n">
        <v>1040</v>
      </c>
      <c r="I41" s="157">
        <f>ROUND(H41/H55,4)</f>
        <v/>
      </c>
      <c r="J41" s="162" t="n"/>
      <c r="K41" s="155">
        <f>I41*J41</f>
        <v/>
      </c>
      <c r="L41" s="155">
        <f>K41/K55</f>
        <v/>
      </c>
      <c r="M41" s="155">
        <f>F41/C41</f>
        <v/>
      </c>
      <c r="N41" s="155" t="inlineStr">
        <is>
          <t>华大-C4-转录组</t>
        </is>
      </c>
      <c r="O41" s="155" t="inlineStr">
        <is>
          <t>广州奥智生物科技有限公司</t>
        </is>
      </c>
      <c r="P41" s="162" t="n"/>
      <c r="Q41" s="155">
        <f>I41*J41</f>
        <v/>
      </c>
      <c r="R41" s="78" t="n"/>
      <c r="S41" s="78" t="n"/>
    </row>
    <row r="42" ht="30" customHeight="1" s="80">
      <c r="A42" s="155" t="inlineStr">
        <is>
          <t>0720C</t>
        </is>
      </c>
      <c r="B42" s="155" t="inlineStr">
        <is>
          <t>C17</t>
        </is>
      </c>
      <c r="C42" s="162" t="n"/>
      <c r="D42" s="163" t="n"/>
      <c r="E42" s="157">
        <f>IF(ABS(D42-D55)&lt;=100,"正常",IF(D42&gt;D55,"偏大"&amp;INT(D42-D55)&amp;"bp","偏小"&amp;INT(D55-D42)&amp;"bp"))</f>
        <v/>
      </c>
      <c r="F42" s="157">
        <f>D42*0.33*G42*0.001</f>
        <v/>
      </c>
      <c r="G42" s="155">
        <f>900*L42</f>
        <v/>
      </c>
      <c r="H42" s="155" t="n">
        <v>41.64</v>
      </c>
      <c r="I42" s="157">
        <f>ROUND(H42/H55,4)</f>
        <v/>
      </c>
      <c r="J42" s="162" t="n"/>
      <c r="K42" s="155">
        <f>I42*J42</f>
        <v/>
      </c>
      <c r="L42" s="155">
        <f>K42/K55</f>
        <v/>
      </c>
      <c r="M42" s="155">
        <f>F42/C42</f>
        <v/>
      </c>
      <c r="N42" s="155" t="inlineStr">
        <is>
          <t>华大-C4-转录组</t>
        </is>
      </c>
      <c r="O42" s="155" t="inlineStr">
        <is>
          <t>广州奥智生物科技有限公司</t>
        </is>
      </c>
      <c r="P42" s="162" t="n"/>
      <c r="Q42" s="155">
        <f>I42*J42</f>
        <v/>
      </c>
      <c r="R42" s="78" t="n"/>
      <c r="S42" s="78" t="n"/>
    </row>
    <row r="43" ht="30" customHeight="1" s="80">
      <c r="A43" s="155" t="inlineStr">
        <is>
          <t>0720C</t>
        </is>
      </c>
      <c r="B43" s="155" t="inlineStr">
        <is>
          <t>C18</t>
        </is>
      </c>
      <c r="C43" s="162" t="n"/>
      <c r="D43" s="163" t="n"/>
      <c r="E43" s="157">
        <f>IF(ABS(D43-D55)&lt;=100,"正常",IF(D43&gt;D55,"偏大"&amp;INT(D43-D55)&amp;"bp","偏小"&amp;INT(D55-D43)&amp;"bp"))</f>
        <v/>
      </c>
      <c r="F43" s="157">
        <f>D43*0.33*G43*0.001</f>
        <v/>
      </c>
      <c r="G43" s="155">
        <f>900*L43</f>
        <v/>
      </c>
      <c r="H43" s="155" t="n">
        <v>690.17</v>
      </c>
      <c r="I43" s="157">
        <f>ROUND(H43/H55,4)</f>
        <v/>
      </c>
      <c r="J43" s="162" t="n"/>
      <c r="K43" s="155">
        <f>I43*J43</f>
        <v/>
      </c>
      <c r="L43" s="155">
        <f>K43/K55</f>
        <v/>
      </c>
      <c r="M43" s="155">
        <f>F43/C43</f>
        <v/>
      </c>
      <c r="N43" s="155" t="inlineStr">
        <is>
          <t>华大-C4-转录组</t>
        </is>
      </c>
      <c r="O43" s="155" t="inlineStr">
        <is>
          <t>广州奥智生物科技有限公司</t>
        </is>
      </c>
      <c r="P43" s="162" t="n"/>
      <c r="Q43" s="155">
        <f>I43*J43</f>
        <v/>
      </c>
      <c r="R43" s="78" t="n"/>
      <c r="S43" s="78" t="n"/>
    </row>
    <row r="44" ht="30" customHeight="1" s="80">
      <c r="A44" s="155" t="inlineStr">
        <is>
          <t>0720C</t>
        </is>
      </c>
      <c r="B44" s="155" t="inlineStr">
        <is>
          <t>C19</t>
        </is>
      </c>
      <c r="C44" s="162" t="n"/>
      <c r="D44" s="163" t="n"/>
      <c r="E44" s="157">
        <f>IF(ABS(D44-D55)&lt;=100,"正常",IF(D44&gt;D55,"偏大"&amp;INT(D44-D55)&amp;"bp","偏小"&amp;INT(D55-D44)&amp;"bp"))</f>
        <v/>
      </c>
      <c r="F44" s="157">
        <f>D44*0.33*G44*0.001</f>
        <v/>
      </c>
      <c r="G44" s="155">
        <f>900*L44</f>
        <v/>
      </c>
      <c r="H44" s="155" t="n">
        <v>8</v>
      </c>
      <c r="I44" s="157">
        <f>ROUND(H44/H55,4)</f>
        <v/>
      </c>
      <c r="J44" s="162" t="n"/>
      <c r="K44" s="155">
        <f>I44*J44</f>
        <v/>
      </c>
      <c r="L44" s="155">
        <f>K44/K55</f>
        <v/>
      </c>
      <c r="M44" s="155">
        <f>F44/C44</f>
        <v/>
      </c>
      <c r="N44" s="155" t="inlineStr">
        <is>
          <t>WGS</t>
        </is>
      </c>
      <c r="O44" s="155" t="inlineStr">
        <is>
          <t>南京鼓楼医院</t>
        </is>
      </c>
      <c r="P44" s="162" t="n"/>
      <c r="Q44" s="155">
        <f>I44*J44</f>
        <v/>
      </c>
      <c r="R44" s="78" t="n"/>
      <c r="S44" s="78" t="n"/>
    </row>
    <row r="45" ht="30" customHeight="1" s="80">
      <c r="A45" s="155" t="inlineStr">
        <is>
          <t>0720C</t>
        </is>
      </c>
      <c r="B45" s="155" t="inlineStr">
        <is>
          <t>C20</t>
        </is>
      </c>
      <c r="C45" s="162" t="n"/>
      <c r="D45" s="163" t="n"/>
      <c r="E45" s="157">
        <f>IF(ABS(D45-D55)&lt;=100,"正常",IF(D45&gt;D55,"偏大"&amp;INT(D45-D55)&amp;"bp","偏小"&amp;INT(D55-D45)&amp;"bp"))</f>
        <v/>
      </c>
      <c r="F45" s="157">
        <f>D45*0.33*G45*0.001</f>
        <v/>
      </c>
      <c r="G45" s="155">
        <f>900*L45</f>
        <v/>
      </c>
      <c r="H45" s="155" t="n">
        <v>40</v>
      </c>
      <c r="I45" s="157">
        <f>ROUND(H45/H55,4)</f>
        <v/>
      </c>
      <c r="J45" s="162" t="n"/>
      <c r="K45" s="155">
        <f>I45*J45</f>
        <v/>
      </c>
      <c r="L45" s="155">
        <f>K45/K55</f>
        <v/>
      </c>
      <c r="M45" s="155">
        <f>F45/C45</f>
        <v/>
      </c>
      <c r="N45" s="155" t="inlineStr">
        <is>
          <t>华大C4-cDNA</t>
        </is>
      </c>
      <c r="O45" s="155" t="inlineStr">
        <is>
          <t>广州世益科技有限公司</t>
        </is>
      </c>
      <c r="P45" s="162" t="n"/>
      <c r="Q45" s="155">
        <f>I45*J45</f>
        <v/>
      </c>
      <c r="R45" s="78" t="n"/>
      <c r="S45" s="78" t="n"/>
    </row>
    <row r="46" ht="30" customHeight="1" s="80">
      <c r="A46" s="155" t="inlineStr">
        <is>
          <t>0720C</t>
        </is>
      </c>
      <c r="B46" s="155" t="inlineStr">
        <is>
          <t>C21</t>
        </is>
      </c>
      <c r="C46" s="162" t="n"/>
      <c r="D46" s="163" t="n"/>
      <c r="E46" s="157">
        <f>IF(ABS(D46-D55)&lt;=100,"正常",IF(D46&gt;D55,"偏大"&amp;INT(D46-D55)&amp;"bp","偏小"&amp;INT(D55-D46)&amp;"bp"))</f>
        <v/>
      </c>
      <c r="F46" s="157">
        <f>D46*0.33*G46*0.001</f>
        <v/>
      </c>
      <c r="G46" s="155">
        <f>900*L46</f>
        <v/>
      </c>
      <c r="H46" s="155" t="n">
        <v>90</v>
      </c>
      <c r="I46" s="157">
        <f>ROUND(H46/H55,4)</f>
        <v/>
      </c>
      <c r="J46" s="162" t="n"/>
      <c r="K46" s="155">
        <f>I46*J46</f>
        <v/>
      </c>
      <c r="L46" s="155">
        <f>K46/K55</f>
        <v/>
      </c>
      <c r="M46" s="155">
        <f>F46/C46</f>
        <v/>
      </c>
      <c r="N46" s="155" t="inlineStr">
        <is>
          <t>基因组文库</t>
        </is>
      </c>
      <c r="O46" s="155" t="inlineStr">
        <is>
          <t>武汉百易汇能生物科技有限公司</t>
        </is>
      </c>
      <c r="P46" s="162" t="n"/>
      <c r="Q46" s="155">
        <f>I46*J46</f>
        <v/>
      </c>
      <c r="R46" s="78" t="n"/>
      <c r="S46" s="78" t="n"/>
    </row>
    <row r="47" ht="30" customHeight="1" s="80">
      <c r="A47" s="155" t="inlineStr">
        <is>
          <t>0720C</t>
        </is>
      </c>
      <c r="B47" s="155" t="inlineStr">
        <is>
          <t>C22</t>
        </is>
      </c>
      <c r="C47" s="162" t="n"/>
      <c r="D47" s="163" t="n"/>
      <c r="E47" s="157">
        <f>IF(ABS(D47-D55)&lt;=100,"正常",IF(D47&gt;D55,"偏大"&amp;INT(D47-D55)&amp;"bp","偏小"&amp;INT(D55-D47)&amp;"bp"))</f>
        <v/>
      </c>
      <c r="F47" s="157">
        <f>D47*0.33*G47*0.001</f>
        <v/>
      </c>
      <c r="G47" s="155">
        <f>900*L47</f>
        <v/>
      </c>
      <c r="H47" s="155" t="n">
        <v>150</v>
      </c>
      <c r="I47" s="157">
        <f>ROUND(H47/H55,4)</f>
        <v/>
      </c>
      <c r="J47" s="162" t="n"/>
      <c r="K47" s="155">
        <f>I47*J47</f>
        <v/>
      </c>
      <c r="L47" s="155">
        <f>K47/K55</f>
        <v/>
      </c>
      <c r="M47" s="155">
        <f>F47/C47</f>
        <v/>
      </c>
      <c r="N47" s="155" t="inlineStr">
        <is>
          <t>基因组文库</t>
        </is>
      </c>
      <c r="O47" s="155" t="inlineStr">
        <is>
          <t>武汉百易汇能生物科技有限公司</t>
        </is>
      </c>
      <c r="P47" s="162" t="n"/>
      <c r="Q47" s="155">
        <f>I47*J47</f>
        <v/>
      </c>
      <c r="R47" s="78" t="n"/>
      <c r="S47" s="78" t="n"/>
    </row>
    <row r="48" ht="30" customHeight="1" s="80">
      <c r="A48" s="155" t="inlineStr">
        <is>
          <t>0720C</t>
        </is>
      </c>
      <c r="B48" s="155" t="inlineStr">
        <is>
          <t>C23</t>
        </is>
      </c>
      <c r="C48" s="162" t="n"/>
      <c r="D48" s="163" t="n"/>
      <c r="E48" s="157">
        <f>IF(ABS(D48-D55)&lt;=100,"正常",IF(D48&gt;D55,"偏大"&amp;INT(D48-D55)&amp;"bp","偏小"&amp;INT(D55-D48)&amp;"bp"))</f>
        <v/>
      </c>
      <c r="F48" s="157">
        <f>D48*0.33*G48*0.001</f>
        <v/>
      </c>
      <c r="G48" s="155">
        <f>900*L48</f>
        <v/>
      </c>
      <c r="H48" s="155" t="n">
        <v>54</v>
      </c>
      <c r="I48" s="157">
        <f>ROUND(H48/H55,4)</f>
        <v/>
      </c>
      <c r="J48" s="162" t="n"/>
      <c r="K48" s="155">
        <f>I48*J48</f>
        <v/>
      </c>
      <c r="L48" s="155">
        <f>K48/K55</f>
        <v/>
      </c>
      <c r="M48" s="155">
        <f>F48/C48</f>
        <v/>
      </c>
      <c r="N48" s="155" t="inlineStr">
        <is>
          <t>转录组文库</t>
        </is>
      </c>
      <c r="O48" s="155" t="inlineStr">
        <is>
          <t>武汉百易汇能生物科技有限公司</t>
        </is>
      </c>
      <c r="P48" s="162" t="n"/>
      <c r="Q48" s="155">
        <f>I48*J48</f>
        <v/>
      </c>
      <c r="R48" s="78" t="n"/>
      <c r="S48" s="78" t="n"/>
    </row>
    <row r="49" ht="30" customHeight="1" s="80">
      <c r="A49" s="155" t="inlineStr">
        <is>
          <t>0720C</t>
        </is>
      </c>
      <c r="B49" s="155" t="inlineStr">
        <is>
          <t>C24</t>
        </is>
      </c>
      <c r="C49" s="162" t="n"/>
      <c r="D49" s="163" t="n"/>
      <c r="E49" s="157">
        <f>IF(ABS(D49-D55)&lt;=100,"正常",IF(D49&gt;D55,"偏大"&amp;INT(D49-D55)&amp;"bp","偏小"&amp;INT(D55-D49)&amp;"bp"))</f>
        <v/>
      </c>
      <c r="F49" s="157">
        <f>D49*0.33*G49*0.001</f>
        <v/>
      </c>
      <c r="G49" s="155">
        <f>900*L49</f>
        <v/>
      </c>
      <c r="H49" s="155" t="n">
        <v>30</v>
      </c>
      <c r="I49" s="157">
        <f>ROUND(H49/H55,4)</f>
        <v/>
      </c>
      <c r="J49" s="162" t="n"/>
      <c r="K49" s="155">
        <f>I49*J49</f>
        <v/>
      </c>
      <c r="L49" s="155">
        <f>K49/K55</f>
        <v/>
      </c>
      <c r="M49" s="155">
        <f>F49/C49</f>
        <v/>
      </c>
      <c r="N49" s="155" t="inlineStr">
        <is>
          <t>华大C4-BCR</t>
        </is>
      </c>
      <c r="O49" s="155" t="inlineStr">
        <is>
          <t>江苏省肿瘤防治研究所（江苏省肿瘤医院）</t>
        </is>
      </c>
      <c r="P49" s="162" t="n"/>
      <c r="Q49" s="155">
        <f>I49*J49</f>
        <v/>
      </c>
      <c r="R49" s="78" t="n"/>
      <c r="S49" s="78" t="n"/>
    </row>
    <row r="50" ht="30" customHeight="1" s="80">
      <c r="A50" s="155" t="inlineStr">
        <is>
          <t>0720C</t>
        </is>
      </c>
      <c r="B50" s="155" t="inlineStr">
        <is>
          <t>C25</t>
        </is>
      </c>
      <c r="C50" s="162" t="n"/>
      <c r="D50" s="163" t="n"/>
      <c r="E50" s="157">
        <f>IF(ABS(D50-D55)&lt;=100,"正常",IF(D50&gt;D55,"偏大"&amp;INT(D50-D55)&amp;"bp","偏小"&amp;INT(D55-D50)&amp;"bp"))</f>
        <v/>
      </c>
      <c r="F50" s="157">
        <f>D50*0.33*G50*0.001</f>
        <v/>
      </c>
      <c r="G50" s="155">
        <f>900*L50</f>
        <v/>
      </c>
      <c r="H50" s="155" t="n">
        <v>15</v>
      </c>
      <c r="I50" s="157">
        <f>ROUND(H50/H55,4)</f>
        <v/>
      </c>
      <c r="J50" s="162" t="n"/>
      <c r="K50" s="155">
        <f>I50*J50</f>
        <v/>
      </c>
      <c r="L50" s="155">
        <f>K50/K55</f>
        <v/>
      </c>
      <c r="M50" s="155">
        <f>F50/C50</f>
        <v/>
      </c>
      <c r="N50" s="155" t="inlineStr">
        <is>
          <t>华大C4-TCR</t>
        </is>
      </c>
      <c r="O50" s="155" t="inlineStr">
        <is>
          <t>江苏省肿瘤防治研究所（江苏省肿瘤医院）</t>
        </is>
      </c>
      <c r="P50" s="162" t="n"/>
      <c r="Q50" s="155">
        <f>I50*J50</f>
        <v/>
      </c>
      <c r="R50" s="78" t="n"/>
      <c r="S50" s="78" t="n"/>
    </row>
    <row r="51" ht="30" customHeight="1" s="80">
      <c r="A51" s="155" t="inlineStr">
        <is>
          <t>0720C</t>
        </is>
      </c>
      <c r="B51" s="155" t="inlineStr">
        <is>
          <t>C26</t>
        </is>
      </c>
      <c r="C51" s="162" t="n"/>
      <c r="D51" s="163" t="n"/>
      <c r="E51" s="157">
        <f>IF(ABS(D51-D55)&lt;=100,"正常",IF(D51&gt;D55,"偏大"&amp;INT(D51-D55)&amp;"bp","偏小"&amp;INT(D55-D51)&amp;"bp"))</f>
        <v/>
      </c>
      <c r="F51" s="157">
        <f>D51*0.33*G51*0.001</f>
        <v/>
      </c>
      <c r="G51" s="155">
        <f>900*L51</f>
        <v/>
      </c>
      <c r="H51" s="155" t="n">
        <v>40</v>
      </c>
      <c r="I51" s="157">
        <f>ROUND(H51/H55,4)</f>
        <v/>
      </c>
      <c r="J51" s="162" t="n"/>
      <c r="K51" s="155">
        <f>I51*J51</f>
        <v/>
      </c>
      <c r="L51" s="155">
        <f>K51/K55</f>
        <v/>
      </c>
      <c r="M51" s="155">
        <f>F51/C51</f>
        <v/>
      </c>
      <c r="N51" s="155" t="inlineStr">
        <is>
          <t>华大C4-oligo</t>
        </is>
      </c>
      <c r="O51" s="155" t="inlineStr">
        <is>
          <t>深圳湾实验室</t>
        </is>
      </c>
      <c r="P51" s="162" t="n"/>
      <c r="Q51" s="155">
        <f>I51*J51</f>
        <v/>
      </c>
      <c r="R51" s="78" t="n"/>
      <c r="S51" s="78" t="n"/>
    </row>
    <row r="52" ht="30" customHeight="1" s="80">
      <c r="A52" s="155" t="inlineStr">
        <is>
          <t>0720C</t>
        </is>
      </c>
      <c r="B52" s="155" t="inlineStr">
        <is>
          <t>C27</t>
        </is>
      </c>
      <c r="C52" s="162" t="n"/>
      <c r="D52" s="163" t="n"/>
      <c r="E52" s="157">
        <f>IF(ABS(D52-D55)&lt;=100,"正常",IF(D52&gt;D55,"偏大"&amp;INT(D52-D55)&amp;"bp","偏小"&amp;INT(D55-D52)&amp;"bp"))</f>
        <v/>
      </c>
      <c r="F52" s="157">
        <f>D52*0.33*G52*0.001</f>
        <v/>
      </c>
      <c r="G52" s="155">
        <f>900*L52</f>
        <v/>
      </c>
      <c r="H52" s="155" t="n">
        <v>20</v>
      </c>
      <c r="I52" s="157">
        <f>ROUND(H52/H55,4)</f>
        <v/>
      </c>
      <c r="J52" s="162" t="n"/>
      <c r="K52" s="155">
        <f>I52*J52</f>
        <v/>
      </c>
      <c r="L52" s="155">
        <f>K52/K55</f>
        <v/>
      </c>
      <c r="M52" s="155">
        <f>F52/C52</f>
        <v/>
      </c>
      <c r="N52" s="155" t="inlineStr">
        <is>
          <t>华大C4-cDNA</t>
        </is>
      </c>
      <c r="O52" s="155" t="inlineStr">
        <is>
          <t>广州世益科技有限公司</t>
        </is>
      </c>
      <c r="P52" s="162" t="n"/>
      <c r="Q52" s="155">
        <f>I52*J52</f>
        <v/>
      </c>
      <c r="R52" s="78" t="n"/>
      <c r="S52" s="78" t="n"/>
    </row>
    <row r="53" ht="30" customHeight="1" s="80">
      <c r="A53" s="155" t="inlineStr">
        <is>
          <t>0720C</t>
        </is>
      </c>
      <c r="B53" s="155" t="inlineStr">
        <is>
          <t>C28</t>
        </is>
      </c>
      <c r="C53" s="162" t="n"/>
      <c r="D53" s="163" t="n"/>
      <c r="E53" s="157">
        <f>IF(ABS(D53-D55)&lt;=100,"正常",IF(D53&gt;D55,"偏大"&amp;INT(D53-D55)&amp;"bp","偏小"&amp;INT(D55-D53)&amp;"bp"))</f>
        <v/>
      </c>
      <c r="F53" s="157">
        <f>D53*0.33*G53*0.001</f>
        <v/>
      </c>
      <c r="G53" s="155">
        <f>900*L53</f>
        <v/>
      </c>
      <c r="H53" s="155" t="n">
        <v>25</v>
      </c>
      <c r="I53" s="157">
        <f>ROUND(H53/H55,4)</f>
        <v/>
      </c>
      <c r="J53" s="162" t="n"/>
      <c r="K53" s="155">
        <f>I53*J53</f>
        <v/>
      </c>
      <c r="L53" s="155">
        <f>K53/K55</f>
        <v/>
      </c>
      <c r="M53" s="155">
        <f>F53/C53</f>
        <v/>
      </c>
      <c r="N53" s="155" t="inlineStr">
        <is>
          <t>mRNA</t>
        </is>
      </c>
      <c r="O53" s="155" t="inlineStr">
        <is>
          <t>武汉瑞兴生物科技有限公司</t>
        </is>
      </c>
      <c r="P53" s="162" t="n"/>
      <c r="Q53" s="155">
        <f>I53*J53</f>
        <v/>
      </c>
      <c r="R53" s="78" t="n"/>
      <c r="S53" s="78" t="n"/>
    </row>
    <row r="54" ht="30" customHeight="1" s="80">
      <c r="A54" s="155" t="inlineStr">
        <is>
          <t>0720C</t>
        </is>
      </c>
      <c r="B54" s="155" t="inlineStr">
        <is>
          <t>C29</t>
        </is>
      </c>
      <c r="C54" s="162" t="n"/>
      <c r="D54" s="163" t="n"/>
      <c r="E54" s="157">
        <f>IF(ABS(D54-D55)&lt;=100,"正常",IF(D54&gt;D55,"偏大"&amp;INT(D54-D55)&amp;"bp","偏小"&amp;INT(D55-D54)&amp;"bp"))</f>
        <v/>
      </c>
      <c r="F54" s="157">
        <f>D54*0.33*G54*0.001</f>
        <v/>
      </c>
      <c r="G54" s="155">
        <f>900*L54</f>
        <v/>
      </c>
      <c r="H54" s="155" t="n">
        <v>16</v>
      </c>
      <c r="I54" s="157">
        <f>ROUND(H54/H55,4)</f>
        <v/>
      </c>
      <c r="J54" s="162" t="n"/>
      <c r="K54" s="155">
        <f>I54*J54</f>
        <v/>
      </c>
      <c r="L54" s="155">
        <f>K54/K55</f>
        <v/>
      </c>
      <c r="M54" s="155">
        <f>F54/C54</f>
        <v/>
      </c>
      <c r="N54" s="155" t="inlineStr">
        <is>
          <t>华大C4-oligo</t>
        </is>
      </c>
      <c r="O54" s="155" t="inlineStr">
        <is>
          <t>武汉瑞兴生物科技有限公司</t>
        </is>
      </c>
      <c r="P54" s="162" t="n"/>
      <c r="Q54" s="155">
        <f>I54*J54</f>
        <v/>
      </c>
      <c r="R54" s="78" t="n"/>
      <c r="S54" s="78" t="n"/>
    </row>
    <row r="55" ht="30" customHeight="1" s="80">
      <c r="A55" s="78" t="n"/>
      <c r="B55" s="78" t="n"/>
      <c r="C55" s="78" t="n"/>
      <c r="D55" s="86">
        <f>MEDIAN(D26:D54)</f>
        <v/>
      </c>
      <c r="E55" s="90" t="n"/>
      <c r="F55" s="90" t="n"/>
      <c r="G55" s="78" t="n"/>
      <c r="H55" s="77">
        <f>SUM(H26:H54)</f>
        <v/>
      </c>
      <c r="I55" s="90" t="n"/>
      <c r="J55" s="78" t="n"/>
      <c r="K55" s="77">
        <f>SUM(K26:K54)</f>
        <v/>
      </c>
      <c r="L55" s="78" t="n"/>
      <c r="M55" s="77">
        <f>SUM(M26:M54)</f>
        <v/>
      </c>
      <c r="N55" s="78" t="n"/>
      <c r="O55" s="78" t="n"/>
      <c r="P55" s="77">
        <f>96-M55</f>
        <v/>
      </c>
      <c r="Q55" s="78" t="n"/>
      <c r="R55" s="78" t="n"/>
      <c r="S55" s="78" t="n"/>
    </row>
    <row r="56" ht="30" customHeight="1" s="80"/>
    <row r="57" ht="30" customHeight="1" s="80"/>
    <row r="33383" ht="30" customFormat="1" customHeight="1" s="123"/>
  </sheetData>
  <conditionalFormatting sqref="B10 B28 B57:B1048576">
    <cfRule type="duplicateValues" priority="60" dxfId="0"/>
  </conditionalFormatting>
  <conditionalFormatting sqref="E1:E1048576">
    <cfRule type="containsText" priority="1" operator="containsText" dxfId="0" text="偏小">
      <formula>NOT(ISERROR(SEARCH("偏小",E1)))</formula>
    </cfRule>
    <cfRule type="containsText" priority="2" operator="containsText" dxfId="88" text="偏大">
      <formula>NOT(ISERROR(SEARCH("偏大",E1)))</formula>
    </cfRule>
    <cfRule type="cellIs" priority="3" operator="equal" dxfId="88">
      <formula>"偏大"</formula>
    </cfRule>
    <cfRule type="cellIs" priority="4" operator="equal" dxfId="0">
      <formula>"偏小"</formula>
    </cfRule>
  </conditionalFormatting>
  <conditionalFormatting sqref="R1:R1048576">
    <cfRule type="cellIs" priority="5" operator="lessThan" dxfId="0">
      <formula>0</formula>
    </cfRule>
  </conditionalFormatting>
  <conditionalFormatting sqref="W2:W9">
    <cfRule type="duplicateValues" priority="42" dxfId="0"/>
  </conditionalFormatting>
  <conditionalFormatting sqref="W10 W28 W57:W1048576">
    <cfRule type="duplicateValues" priority="61" dxfId="0"/>
  </conditionalFormatting>
  <conditionalFormatting sqref="W11:W27">
    <cfRule type="duplicateValues" priority="12" dxfId="0"/>
  </conditionalFormatting>
  <conditionalFormatting sqref="W29:W56">
    <cfRule type="duplicateValues" priority="6" dxfId="0"/>
  </conditionalFormatting>
  <pageMargins left="0.75" right="0.75" top="1" bottom="1" header="0.5" footer="0.5"/>
  <pageSetup orientation="portrait" paperSize="9" scale="2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zoomScale="85" zoomScaleNormal="85" workbookViewId="0">
      <pane ySplit="1" topLeftCell="A2" activePane="bottomLeft" state="frozen"/>
      <selection pane="bottomLeft" activeCell="O15" sqref="O15"/>
    </sheetView>
  </sheetViews>
  <sheetFormatPr baseColWidth="8" defaultColWidth="9" defaultRowHeight="15.75"/>
  <cols>
    <col width="12" customWidth="1" style="3" min="1" max="1"/>
    <col width="12" customWidth="1" style="4" min="2" max="2"/>
    <col width="19" customWidth="1" style="123" min="3" max="3"/>
    <col width="14" customWidth="1" style="142" min="4" max="4"/>
    <col width="22" customWidth="1" style="142" min="5" max="5"/>
    <col width="22" customWidth="1" style="121" min="6" max="6"/>
    <col width="24" customWidth="1" style="123" min="7" max="7"/>
    <col width="18" customWidth="1" style="123" min="8" max="8"/>
    <col width="24" customWidth="1" style="123" min="9" max="9"/>
    <col width="8" customWidth="1" style="4" min="10" max="10"/>
    <col width="4" customWidth="1" style="4" min="11" max="11"/>
    <col width="4" customWidth="1" style="7" min="12" max="12"/>
    <col width="4" customWidth="1" style="4" min="13" max="16"/>
    <col width="4" customWidth="1" style="80" min="14" max="14"/>
    <col width="4" customWidth="1" style="80" min="15" max="15"/>
    <col width="4" customWidth="1" style="80" min="16" max="16"/>
    <col width="4" customWidth="1" style="119" min="17" max="17"/>
    <col width="4" customWidth="1" style="4" min="18" max="19"/>
    <col width="4" customWidth="1" style="80" min="19" max="19"/>
    <col width="25.625" customWidth="1" style="4" min="20" max="20"/>
    <col width="12.625" customWidth="1" style="4" min="21" max="21"/>
    <col width="9" customWidth="1" style="4" min="22" max="26"/>
    <col width="9" customWidth="1" style="4" min="27" max="16384"/>
  </cols>
  <sheetData>
    <row r="1" ht="33" customFormat="1" customHeight="1" s="1">
      <c r="A1" s="76" t="inlineStr">
        <is>
          <t>lane编号</t>
        </is>
      </c>
      <c r="B1" s="50" t="inlineStr">
        <is>
          <t>文库编号</t>
        </is>
      </c>
      <c r="C1" s="143" t="inlineStr">
        <is>
          <t>摩尔浓度(nM/L）</t>
        </is>
      </c>
      <c r="D1" s="144" t="inlineStr">
        <is>
          <t>数据量（G)</t>
        </is>
      </c>
      <c r="E1" s="144" t="inlineStr">
        <is>
          <t>文库摩尔质量（nM）</t>
        </is>
      </c>
      <c r="F1" s="145" t="inlineStr">
        <is>
          <t>最终取样体积（ul）</t>
        </is>
      </c>
      <c r="G1" s="143" t="inlineStr">
        <is>
          <t>混合文库摩尔质量总和</t>
        </is>
      </c>
      <c r="H1" s="143" t="inlineStr">
        <is>
          <t>混合文库总体积</t>
        </is>
      </c>
      <c r="I1" s="143" t="inlineStr">
        <is>
          <t>混合文库浓度（nM/L）</t>
        </is>
      </c>
      <c r="J1" s="9" t="inlineStr">
        <is>
          <t>备注</t>
        </is>
      </c>
      <c r="K1" s="146" t="n"/>
      <c r="L1" s="60" t="n"/>
      <c r="M1" s="54" t="n"/>
      <c r="N1" s="54" t="n"/>
      <c r="O1" s="54" t="n"/>
      <c r="P1" s="54" t="n"/>
      <c r="Q1" s="141" t="n"/>
      <c r="R1" s="55" t="n"/>
      <c r="S1" s="55" t="n"/>
    </row>
    <row r="34524" customFormat="1" s="123"/>
  </sheetData>
  <conditionalFormatting sqref="A1 A12 A25 A38:A1048576">
    <cfRule type="duplicateValues" priority="640" dxfId="0"/>
  </conditionalFormatting>
  <conditionalFormatting sqref="A1:A2 A12 A25 A38:A1048576">
    <cfRule type="duplicateValues" priority="579" dxfId="0"/>
  </conditionalFormatting>
  <conditionalFormatting sqref="A2">
    <cfRule type="duplicateValues" priority="631" dxfId="0"/>
  </conditionalFormatting>
  <conditionalFormatting sqref="A13">
    <cfRule type="duplicateValues" priority="346" dxfId="0"/>
  </conditionalFormatting>
  <conditionalFormatting sqref="A22">
    <cfRule type="duplicateValues" priority="267" dxfId="0"/>
  </conditionalFormatting>
  <conditionalFormatting sqref="A26">
    <cfRule type="duplicateValues" priority="78" dxfId="0"/>
  </conditionalFormatting>
  <conditionalFormatting sqref="B1 B12 B25 B38:B1048576">
    <cfRule type="duplicateValues" priority="761" dxfId="0"/>
  </conditionalFormatting>
  <conditionalFormatting sqref="B2">
    <cfRule type="duplicateValues" priority="636" dxfId="0"/>
  </conditionalFormatting>
  <conditionalFormatting sqref="B3">
    <cfRule type="duplicateValues" priority="551" dxfId="0"/>
  </conditionalFormatting>
  <conditionalFormatting sqref="B4">
    <cfRule type="duplicateValues" priority="550" dxfId="0"/>
  </conditionalFormatting>
  <conditionalFormatting sqref="B5">
    <cfRule type="duplicateValues" priority="549" dxfId="0"/>
  </conditionalFormatting>
  <conditionalFormatting sqref="B6">
    <cfRule type="duplicateValues" priority="548" dxfId="0"/>
  </conditionalFormatting>
  <conditionalFormatting sqref="B7">
    <cfRule type="duplicateValues" priority="547" dxfId="0"/>
  </conditionalFormatting>
  <conditionalFormatting sqref="B8">
    <cfRule type="duplicateValues" priority="546" dxfId="0"/>
  </conditionalFormatting>
  <conditionalFormatting sqref="B9">
    <cfRule type="duplicateValues" priority="545" dxfId="0"/>
  </conditionalFormatting>
  <conditionalFormatting sqref="B10">
    <cfRule type="duplicateValues" priority="544" dxfId="0"/>
  </conditionalFormatting>
  <conditionalFormatting sqref="B11">
    <cfRule type="duplicateValues" priority="543" dxfId="0"/>
  </conditionalFormatting>
  <conditionalFormatting sqref="B13">
    <cfRule type="duplicateValues" priority="401" dxfId="0"/>
  </conditionalFormatting>
  <conditionalFormatting sqref="B14">
    <cfRule type="duplicateValues" priority="400" dxfId="0"/>
  </conditionalFormatting>
  <conditionalFormatting sqref="B15">
    <cfRule type="duplicateValues" priority="352" dxfId="0"/>
  </conditionalFormatting>
  <conditionalFormatting sqref="B16">
    <cfRule type="duplicateValues" priority="351" dxfId="0"/>
  </conditionalFormatting>
  <conditionalFormatting sqref="B17">
    <cfRule type="duplicateValues" priority="350" dxfId="0"/>
  </conditionalFormatting>
  <conditionalFormatting sqref="B18">
    <cfRule type="duplicateValues" priority="349" dxfId="0"/>
  </conditionalFormatting>
  <conditionalFormatting sqref="B19">
    <cfRule type="duplicateValues" priority="348" dxfId="0"/>
  </conditionalFormatting>
  <conditionalFormatting sqref="B20">
    <cfRule type="duplicateValues" priority="347" dxfId="0"/>
  </conditionalFormatting>
  <conditionalFormatting sqref="B22">
    <cfRule type="duplicateValues" priority="355" dxfId="0"/>
  </conditionalFormatting>
  <conditionalFormatting sqref="B23">
    <cfRule type="duplicateValues" priority="354" dxfId="0"/>
  </conditionalFormatting>
  <conditionalFormatting sqref="B24">
    <cfRule type="duplicateValues" priority="353" dxfId="0"/>
  </conditionalFormatting>
  <conditionalFormatting sqref="B26">
    <cfRule type="duplicateValues" priority="174" dxfId="0"/>
  </conditionalFormatting>
  <conditionalFormatting sqref="B27">
    <cfRule type="duplicateValues" priority="173" dxfId="0"/>
  </conditionalFormatting>
  <conditionalFormatting sqref="B28">
    <cfRule type="duplicateValues" priority="172" dxfId="0"/>
  </conditionalFormatting>
  <conditionalFormatting sqref="B29">
    <cfRule type="duplicateValues" priority="171" dxfId="0"/>
  </conditionalFormatting>
  <conditionalFormatting sqref="B30">
    <cfRule type="duplicateValues" priority="170" dxfId="0"/>
  </conditionalFormatting>
  <conditionalFormatting sqref="B31">
    <cfRule type="duplicateValues" priority="169" dxfId="0"/>
  </conditionalFormatting>
  <conditionalFormatting sqref="B32">
    <cfRule type="duplicateValues" priority="168" dxfId="0"/>
  </conditionalFormatting>
  <conditionalFormatting sqref="B33">
    <cfRule type="duplicateValues" priority="167" dxfId="0"/>
  </conditionalFormatting>
  <conditionalFormatting sqref="B34">
    <cfRule type="duplicateValues" priority="166" dxfId="0"/>
  </conditionalFormatting>
  <conditionalFormatting sqref="B35">
    <cfRule type="duplicateValues" priority="165" dxfId="0"/>
  </conditionalFormatting>
  <conditionalFormatting sqref="B36">
    <cfRule type="duplicateValues" priority="164" dxfId="0"/>
  </conditionalFormatting>
  <conditionalFormatting sqref="B37">
    <cfRule type="duplicateValues" priority="163" dxfId="0"/>
  </conditionalFormatting>
  <conditionalFormatting sqref="F2:F11">
    <cfRule type="cellIs" priority="47" operator="greaterThan" dxfId="0">
      <formula>2.5</formula>
    </cfRule>
    <cfRule type="cellIs" priority="57" operator="lessThan" dxfId="0">
      <formula>0.3</formula>
    </cfRule>
  </conditionalFormatting>
  <conditionalFormatting sqref="F13:F20">
    <cfRule type="cellIs" priority="36" operator="lessThan" dxfId="0">
      <formula>0.3</formula>
    </cfRule>
    <cfRule type="cellIs" priority="25" operator="greaterThan" dxfId="0">
      <formula>2.5</formula>
    </cfRule>
  </conditionalFormatting>
  <conditionalFormatting sqref="F22:F24">
    <cfRule type="cellIs" priority="42" operator="lessThan" dxfId="0">
      <formula>0.3</formula>
    </cfRule>
    <cfRule type="cellIs" priority="31" operator="greaterThan" dxfId="0">
      <formula>2.5</formula>
    </cfRule>
  </conditionalFormatting>
  <conditionalFormatting sqref="F26:F37">
    <cfRule type="cellIs" priority="13" operator="lessThan" dxfId="0">
      <formula>0.3</formula>
    </cfRule>
    <cfRule type="cellIs" priority="1" operator="greaterThan" dxfId="0">
      <formula>2.5</formula>
    </cfRule>
  </conditionalFormatting>
  <conditionalFormatting sqref="P1 P12 P25 P38:P1048576">
    <cfRule type="duplicateValues" priority="766" dxfId="0"/>
  </conditionalFormatting>
  <conditionalFormatting sqref="P2">
    <cfRule type="duplicateValues" priority="637" dxfId="0"/>
  </conditionalFormatting>
  <conditionalFormatting sqref="P3">
    <cfRule type="duplicateValues" priority="560" dxfId="0"/>
  </conditionalFormatting>
  <conditionalFormatting sqref="P4">
    <cfRule type="duplicateValues" priority="559" dxfId="0"/>
  </conditionalFormatting>
  <conditionalFormatting sqref="P5">
    <cfRule type="duplicateValues" priority="558" dxfId="0"/>
  </conditionalFormatting>
  <conditionalFormatting sqref="P6">
    <cfRule type="duplicateValues" priority="557" dxfId="0"/>
  </conditionalFormatting>
  <conditionalFormatting sqref="P7">
    <cfRule type="duplicateValues" priority="556" dxfId="0"/>
  </conditionalFormatting>
  <conditionalFormatting sqref="P8">
    <cfRule type="duplicateValues" priority="555" dxfId="0"/>
  </conditionalFormatting>
  <conditionalFormatting sqref="P9">
    <cfRule type="duplicateValues" priority="554" dxfId="0"/>
  </conditionalFormatting>
  <conditionalFormatting sqref="P10">
    <cfRule type="duplicateValues" priority="553" dxfId="0"/>
  </conditionalFormatting>
  <conditionalFormatting sqref="P11">
    <cfRule type="duplicateValues" priority="552" dxfId="0"/>
  </conditionalFormatting>
  <conditionalFormatting sqref="P13">
    <cfRule type="duplicateValues" priority="412" dxfId="0"/>
  </conditionalFormatting>
  <conditionalFormatting sqref="P14">
    <cfRule type="duplicateValues" priority="411" dxfId="0"/>
  </conditionalFormatting>
  <conditionalFormatting sqref="P15">
    <cfRule type="duplicateValues" priority="407" dxfId="0"/>
  </conditionalFormatting>
  <conditionalFormatting sqref="P16">
    <cfRule type="duplicateValues" priority="406" dxfId="0"/>
  </conditionalFormatting>
  <conditionalFormatting sqref="P17">
    <cfRule type="duplicateValues" priority="405" dxfId="0"/>
  </conditionalFormatting>
  <conditionalFormatting sqref="P18">
    <cfRule type="duplicateValues" priority="404" dxfId="0"/>
  </conditionalFormatting>
  <conditionalFormatting sqref="P19">
    <cfRule type="duplicateValues" priority="403" dxfId="0"/>
  </conditionalFormatting>
  <conditionalFormatting sqref="P20">
    <cfRule type="duplicateValues" priority="402" dxfId="0"/>
  </conditionalFormatting>
  <conditionalFormatting sqref="P22">
    <cfRule type="duplicateValues" priority="410" dxfId="0"/>
  </conditionalFormatting>
  <conditionalFormatting sqref="P23">
    <cfRule type="duplicateValues" priority="409" dxfId="0"/>
  </conditionalFormatting>
  <conditionalFormatting sqref="P24">
    <cfRule type="duplicateValues" priority="408" dxfId="0"/>
  </conditionalFormatting>
  <conditionalFormatting sqref="P26">
    <cfRule type="duplicateValues" priority="234" dxfId="0"/>
  </conditionalFormatting>
  <conditionalFormatting sqref="P27">
    <cfRule type="duplicateValues" priority="233" dxfId="0"/>
  </conditionalFormatting>
  <conditionalFormatting sqref="P28">
    <cfRule type="duplicateValues" priority="232" dxfId="0"/>
  </conditionalFormatting>
  <conditionalFormatting sqref="P29">
    <cfRule type="duplicateValues" priority="231" dxfId="0"/>
  </conditionalFormatting>
  <conditionalFormatting sqref="P30">
    <cfRule type="duplicateValues" priority="230" dxfId="0"/>
  </conditionalFormatting>
  <conditionalFormatting sqref="P31">
    <cfRule type="duplicateValues" priority="229" dxfId="0"/>
  </conditionalFormatting>
  <conditionalFormatting sqref="P32">
    <cfRule type="duplicateValues" priority="228" dxfId="0"/>
  </conditionalFormatting>
  <conditionalFormatting sqref="P33">
    <cfRule type="duplicateValues" priority="227" dxfId="0"/>
  </conditionalFormatting>
  <conditionalFormatting sqref="P34">
    <cfRule type="duplicateValues" priority="226" dxfId="0"/>
  </conditionalFormatting>
  <conditionalFormatting sqref="P35">
    <cfRule type="duplicateValues" priority="225" dxfId="0"/>
  </conditionalFormatting>
  <conditionalFormatting sqref="P36">
    <cfRule type="duplicateValues" priority="224" dxfId="0"/>
  </conditionalFormatting>
  <conditionalFormatting sqref="P37">
    <cfRule type="duplicateValues" priority="223" dxfId="0"/>
  </conditionalFormatting>
  <printOptions horizontalCentered="1"/>
  <pageMargins left="0.75" right="0.75" top="0.98" bottom="0.98" header="0.51" footer="0.51"/>
  <pageSetup orientation="portrait" paperSize="9" scale="8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2017-11-11T18:31:00Z</dcterms:created>
  <dcterms:modified xmlns:dcterms="http://purl.org/dc/terms/" xmlns:xsi="http://www.w3.org/2001/XMLSchema-instance" xsi:type="dcterms:W3CDTF">2026-07-20T06:54:17Z</dcterms:modified>
  <cp:lastModifiedBy>Haplox</cp:lastModifiedBy>
  <cp:lastPrinted>2022-03-27T15:17:00Z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  <property name="ICV" fmtid="{D5CDD505-2E9C-101B-9397-08002B2CF9AE}" pid="3">
    <vt:lpwstr xmlns:vt="http://schemas.openxmlformats.org/officeDocument/2006/docPropsVTypes">661EF343CB6A491B8F51128328A3C9D7_13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